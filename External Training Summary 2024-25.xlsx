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vnl\OneDrive - GUVNL\Desktop\"/>
    </mc:Choice>
  </mc:AlternateContent>
  <bookViews>
    <workbookView xWindow="0" yWindow="0" windowWidth="23040" windowHeight="9264"/>
  </bookViews>
  <sheets>
    <sheet name="All Company 2024-25" sheetId="1" r:id="rId1"/>
    <sheet name="GUVNL 24_25" sheetId="3" r:id="rId2"/>
    <sheet name="GETCO 24_25" sheetId="4" r:id="rId3"/>
    <sheet name="GSECL 24_25" sheetId="5" r:id="rId4"/>
    <sheet name="PGVCL 24_25" sheetId="6" r:id="rId5"/>
    <sheet name="DGVCL 24_25" sheetId="7" r:id="rId6"/>
    <sheet name="UGVCL 24_25" sheetId="8" r:id="rId7"/>
    <sheet name="MGVCL 24_25" sheetId="9" r:id="rId8"/>
  </sheets>
  <definedNames>
    <definedName name="_xlnm._FilterDatabase" localSheetId="0" hidden="1">'All Company 2024-25'!$B$6:$Q$234</definedName>
    <definedName name="Z_A6E46F5D_821E_47F9_A9F2_C158AE0DB846_.wvu.FilterData" localSheetId="0" hidden="1">'All Company 2024-25'!$B$6:$Q$38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9" l="1"/>
  <c r="C2" i="8"/>
  <c r="C2" i="7"/>
  <c r="C2" i="6"/>
  <c r="C2" i="5"/>
  <c r="C2" i="4"/>
  <c r="C2" i="3"/>
  <c r="I234" i="1" l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I7" i="1"/>
  <c r="Q5" i="1"/>
  <c r="P5" i="1"/>
  <c r="O5" i="1"/>
  <c r="N5" i="1"/>
  <c r="M5" i="1"/>
  <c r="L5" i="1"/>
  <c r="K5" i="1"/>
  <c r="J5" i="1"/>
</calcChain>
</file>

<file path=xl/sharedStrings.xml><?xml version="1.0" encoding="utf-8"?>
<sst xmlns="http://schemas.openxmlformats.org/spreadsheetml/2006/main" count="2557" uniqueCount="324">
  <si>
    <t>Companywise Participation</t>
  </si>
  <si>
    <t>Duration</t>
  </si>
  <si>
    <t>Sr No</t>
  </si>
  <si>
    <t xml:space="preserve">Training Program </t>
  </si>
  <si>
    <t>Training Agency</t>
  </si>
  <si>
    <t>Mode of Training</t>
  </si>
  <si>
    <t>Place of Training</t>
  </si>
  <si>
    <t>From</t>
  </si>
  <si>
    <t>To</t>
  </si>
  <si>
    <t>No of days</t>
  </si>
  <si>
    <t>GUVNL</t>
  </si>
  <si>
    <t>GETCO</t>
  </si>
  <si>
    <t>GSECL</t>
  </si>
  <si>
    <t>PGVCL</t>
  </si>
  <si>
    <t>DGVCL</t>
  </si>
  <si>
    <t>UGVCL</t>
  </si>
  <si>
    <t>MGVCL</t>
  </si>
  <si>
    <t>Total</t>
  </si>
  <si>
    <t>4 weeks "Switch Yard Maintenance training program using Live Line Maintenance Techniques (LLMT) up to 400KV commencing</t>
  </si>
  <si>
    <t>National Power Training Institute</t>
  </si>
  <si>
    <t>Bengaluru</t>
  </si>
  <si>
    <t>Workshop on "Partial Discharge Monitoring for Power Transformers, Gas Insulated Switchgear, Cable &amp; Rotating Machines"</t>
  </si>
  <si>
    <t>Central Board of Irrigation &amp; Power (CBIP)</t>
  </si>
  <si>
    <t>New Delhi</t>
  </si>
  <si>
    <t>Vadodara</t>
  </si>
  <si>
    <t>ESC-Business Responsibility and Sustainability Report BRSR Training- The Practitioner's Perspective</t>
  </si>
  <si>
    <t>GSFC University</t>
  </si>
  <si>
    <t>International Conference on "Transmission/Distribution Planning for Mega Cities/ Big Cities</t>
  </si>
  <si>
    <t>Smart Distribution System and Storage</t>
  </si>
  <si>
    <t>Faridabad</t>
  </si>
  <si>
    <t>Kanpur</t>
  </si>
  <si>
    <t>Workshop on "Best Practices for Underground Power Cables &amp; Cable Systems</t>
  </si>
  <si>
    <t>Indian Electrical and Electronics Manufacturers Association (IEEMA)</t>
  </si>
  <si>
    <t>Chandigarh</t>
  </si>
  <si>
    <t>NeGD's Deep Dive Training Program for Chief Information Security Officers (CISOs)</t>
  </si>
  <si>
    <t>National e-Governance Division</t>
  </si>
  <si>
    <t>Delhi</t>
  </si>
  <si>
    <t>7th edition of Metering in India Conference</t>
  </si>
  <si>
    <t>India Infrastructure Publishing Pvt. Ltd.</t>
  </si>
  <si>
    <t>National conference on "Protection System and Challenges in a RE Rich Grid"</t>
  </si>
  <si>
    <t>5th Annual India Power Conference 2024</t>
  </si>
  <si>
    <t>Elekore System Private Limited</t>
  </si>
  <si>
    <t>2nd Annual Conference on "Pumped Hydro Storage in India"</t>
  </si>
  <si>
    <t>6 days training programme under RDSS Job Role-5</t>
  </si>
  <si>
    <t>Shivpuri</t>
  </si>
  <si>
    <t>3 days customised training program for DGVCL Engineers</t>
  </si>
  <si>
    <t>TATA POWER DDL Learning Centre</t>
  </si>
  <si>
    <t>TATA Power DDL Learning Centre</t>
  </si>
  <si>
    <t>Online session on "Optimizing the Usage of Water in Thermal Power Plants through Best Practices"</t>
  </si>
  <si>
    <t>STEAG Power Plant Learning Center</t>
  </si>
  <si>
    <t>Noida</t>
  </si>
  <si>
    <t>Online</t>
  </si>
  <si>
    <t>6 days “Leadership Development Program”</t>
  </si>
  <si>
    <t>IIM-Indore</t>
  </si>
  <si>
    <t>Indore</t>
  </si>
  <si>
    <t xml:space="preserve">5 days Leadership Development Programme </t>
  </si>
  <si>
    <t>IIM-Lucknow</t>
  </si>
  <si>
    <t>Lucknow</t>
  </si>
  <si>
    <t>Master Excel with ChatGPT: Basics to Advanced Techniques</t>
  </si>
  <si>
    <t>Federation of Gujarat Industries (FGI)</t>
  </si>
  <si>
    <t>11 weeks "Live Line Maintenance Techniques (LLMT) using Hot Stick Method (HSM) up to 220 KV lines"</t>
  </si>
  <si>
    <t>Bangalore</t>
  </si>
  <si>
    <t>Workshop on HR Practices and Capacity Building for Future Distribution Sector</t>
  </si>
  <si>
    <t>RECIPMT</t>
  </si>
  <si>
    <t>Hyderabad</t>
  </si>
  <si>
    <t>Workshop on "Tariff Policy &amp; Submission of ARRS-Regulatory Compliance</t>
  </si>
  <si>
    <t xml:space="preserve">Renewable Energy:Economic, Policy and Regulatin </t>
  </si>
  <si>
    <t xml:space="preserve">IIT Kanpur </t>
  </si>
  <si>
    <t>online</t>
  </si>
  <si>
    <t>Overview of GFR &amp; Public Procurement through GeM</t>
  </si>
  <si>
    <t>India Railways Institute of Logistics &amp; Materials Management (IRLMM)</t>
  </si>
  <si>
    <t>ICAI National Conference- "Aviratam"</t>
  </si>
  <si>
    <t>The Institute of Charted Accountants of India</t>
  </si>
  <si>
    <t>Workshop on "Power &amp; Distribution Transformer Design Aspects, Modern Trends in Application, Installation, Operation &amp; Maintenance"</t>
  </si>
  <si>
    <t>Jaipur</t>
  </si>
  <si>
    <t>Training program on "Pumped Storage Hydroelectric Projects"</t>
  </si>
  <si>
    <t>National Water Academy</t>
  </si>
  <si>
    <t>Pune</t>
  </si>
  <si>
    <t>Program on "New Energies Conclave"</t>
  </si>
  <si>
    <t>Mumbai</t>
  </si>
  <si>
    <t>Workshop on "Prevention of Boiler Pressure Parts Failure"</t>
  </si>
  <si>
    <t>India Boiler Dot Com</t>
  </si>
  <si>
    <t>Process plant reliability through utilities and associated equipment management.</t>
  </si>
  <si>
    <t>ICW GROUP</t>
  </si>
  <si>
    <t>Industrial bearing revisitd-Maintenance, Condition Monitoring, Analysis and Prevention of Failures</t>
  </si>
  <si>
    <t>Engineering Staff College of India (ESCI)</t>
  </si>
  <si>
    <t>Sustainable Energy Transition Through Secured Digitalisation</t>
  </si>
  <si>
    <t>ICONEX</t>
  </si>
  <si>
    <t>Online session on “Implementation of Flexible Operation in Coal based Power Plants”</t>
  </si>
  <si>
    <t>Training on "ICS/OT Security</t>
  </si>
  <si>
    <t>Indian Computer Emergency Response Team</t>
  </si>
  <si>
    <t>Basic Level Training and Certification program on "Cyber Security"</t>
  </si>
  <si>
    <t>Global online certificate course brought by Centre for Science and Environment on Climate Change, Extreme weather events and Sustainable Development Goals (SDGs)</t>
  </si>
  <si>
    <t>Centre for Science and Environment (CSE)</t>
  </si>
  <si>
    <t>National Seminar on "Electrical and Fire Accidents in Power Industry-Causes and Prevention</t>
  </si>
  <si>
    <t>Green Finance Conference &amp; Awards</t>
  </si>
  <si>
    <t>Mission Energy Foundation</t>
  </si>
  <si>
    <t>NDT Level II certification on Dye Penetrant Testing (DPT) and Magnetic Particle Inspection(MPI)</t>
  </si>
  <si>
    <t>8th Annual Conference on "Flue Gas Desulphurisation System"</t>
  </si>
  <si>
    <t>Online workshop on "Rosters &amp; Reservation in Services"</t>
  </si>
  <si>
    <t>National Academy of Human Resource Development (NAHRD)</t>
  </si>
  <si>
    <t>ONLINE</t>
  </si>
  <si>
    <t>Maharashtra Power Conclave- Smart Digitalization &amp; Energy Transition for Sustainable Development Maharashtra</t>
  </si>
  <si>
    <t>Advanced Procurement Policy and Procedures based on GFR, GeM and E-Procurement, Strategic Sourcing, Cost Reduction Techniques &amp; Contract Management: Issues and Challenges.</t>
  </si>
  <si>
    <t>ICW Group</t>
  </si>
  <si>
    <t>Kolkata</t>
  </si>
  <si>
    <t>Training on "Smart Metering"(for Power Professionals</t>
  </si>
  <si>
    <t>Gurugram</t>
  </si>
  <si>
    <t>Training on "EHV Gas Insulated Switchgear"</t>
  </si>
  <si>
    <t>Two days Technical Workshop on "Design Aspects and Performance Evaluation of Motors &amp; Pumps</t>
  </si>
  <si>
    <t>ERDA</t>
  </si>
  <si>
    <t>Training on "Regulatory &amp; Policy Framework in the Power Sector"</t>
  </si>
  <si>
    <t>IPPAI Regulatory &amp; Policy Research Institute</t>
  </si>
  <si>
    <t>Belgaum</t>
  </si>
  <si>
    <t>Training regarding PLS Tower Software to Engineers Working under Engineering Section GETCO Corporate Office</t>
  </si>
  <si>
    <t>M/s Takalkar Power Engineers &amp; Consultant Pvt. Ltd.</t>
  </si>
  <si>
    <t>Vigilance and Disciplinary matters</t>
  </si>
  <si>
    <t>SPIPA</t>
  </si>
  <si>
    <t>Ahmedabad</t>
  </si>
  <si>
    <t>Summit on "Smart Metering"</t>
  </si>
  <si>
    <t>AAYERA</t>
  </si>
  <si>
    <t>Training program on "AMI Data Analytics and Data Applications"</t>
  </si>
  <si>
    <t>Finance for Non Finance Executives</t>
  </si>
  <si>
    <t>Nirma University</t>
  </si>
  <si>
    <t>Conference on "Power Sector Development- Modern Trends &amp; innovations at International Level</t>
  </si>
  <si>
    <t>Conference on "Pumped Hydro Power Sector - The Need to Support High Penetration of Renewable Energy"</t>
  </si>
  <si>
    <t>Training program on "Building Resilience in Power Sector"</t>
  </si>
  <si>
    <t>Gujarat Institute of Disaster Management (GIDM)</t>
  </si>
  <si>
    <t>Gandhinagar</t>
  </si>
  <si>
    <t>3 days customised training program for DGVCL HR Officials</t>
  </si>
  <si>
    <t>3 days customised training program for DGVCL Finance Officials</t>
  </si>
  <si>
    <t>Training program on "Building Competencies for Personal Excellence" organized by DPE-</t>
  </si>
  <si>
    <t>Department of Public Enterprise (DPE)</t>
  </si>
  <si>
    <t xml:space="preserve">Training program on "Project Management" organized by DPE </t>
  </si>
  <si>
    <t>Shilong</t>
  </si>
  <si>
    <t>Training program on "Meditation" organized by DPE</t>
  </si>
  <si>
    <t>Training program on "Building competencies for Personal Excellence" organized by DPE</t>
  </si>
  <si>
    <t xml:space="preserve">5 days program on “Leadership Development Program” at IIM Calcutta </t>
  </si>
  <si>
    <t>IIM Calcutta</t>
  </si>
  <si>
    <t>Calcutta</t>
  </si>
  <si>
    <t>Online Training program on "Solar Power Plant Designing with PVSYST and PVSOL Software"</t>
  </si>
  <si>
    <t>Dr. Gopal Energy Foundation</t>
  </si>
  <si>
    <t>Global Fintech Fest 2024 (GFF 2024)</t>
  </si>
  <si>
    <t>NPCI Bharat Bill Pay Ltd.</t>
  </si>
  <si>
    <t>Seminar on Overview of GFR &amp; Public Procurement through GeM</t>
  </si>
  <si>
    <t>Workshop on "Protection Systems for Power Distribution</t>
  </si>
  <si>
    <t>Workshop on "Industrial Electrical Safety"</t>
  </si>
  <si>
    <t xml:space="preserve">Centre for Indian Industry </t>
  </si>
  <si>
    <t xml:space="preserve">Seminar on "Modern Trends in Construction Technology" </t>
  </si>
  <si>
    <t>CE&amp;CR</t>
  </si>
  <si>
    <t>Underground Cable-Selection Sizing, Laying, Monitoring and Fault Detection"</t>
  </si>
  <si>
    <t>Power Transformers Testing, Commissioning, Protection and Maintenance</t>
  </si>
  <si>
    <t>Artificial Intelligence and Machine Learning for Predictive Mainteance and Process Automation in Process Industries</t>
  </si>
  <si>
    <t>Personality Development</t>
  </si>
  <si>
    <t>Mastering Vibration Analysis</t>
  </si>
  <si>
    <t>International Business Conference (IBS)</t>
  </si>
  <si>
    <t>Energy Transition, Promotion of Green Energy and Best Practices</t>
  </si>
  <si>
    <t>Digitalization in Construction progress and Potential in Transport, Water and Energy</t>
  </si>
  <si>
    <t xml:space="preserve"> Ahmedabad</t>
  </si>
  <si>
    <t xml:space="preserve">Strategic Management for Scientists and Engineers </t>
  </si>
  <si>
    <t>Online training program on "Solar Energy Storage Batter Maintenance and Related Issues"</t>
  </si>
  <si>
    <t>Corrosion Engineering, Advanced Materials for Corrosion Resistance Coating and Emerging Applications</t>
  </si>
  <si>
    <t>Conference on FLEX India-2024 Preparing India's Coal-fired Power Plants for Flexible Operations</t>
  </si>
  <si>
    <t>Confederation of Indian Industry</t>
  </si>
  <si>
    <t>MDP on "Dashboard with Excel &amp; PowerBi"</t>
  </si>
  <si>
    <t>Baroda Management Association</t>
  </si>
  <si>
    <t>Regulatory Fram Work in Power Sector</t>
  </si>
  <si>
    <t>Workshop on "Recent Arbitral Tribunal Awards &amp; Judgements Pronounced thereof by Hon'nle Courts in India-An Analysis &amp; Mediation"</t>
  </si>
  <si>
    <t>Non-Destructive testing and evaluation of Concrete Strcutres for Civil Engineers</t>
  </si>
  <si>
    <t>Centre for Continuing Education Service</t>
  </si>
  <si>
    <t>Power System Communications SCADA &amp; EMS</t>
  </si>
  <si>
    <t>Best Practices for Underground EHV Power Cables</t>
  </si>
  <si>
    <t>6 days training program under RDSS Jobe Role -5</t>
  </si>
  <si>
    <t>Annual Conference on "IT &amp; OT in Power"</t>
  </si>
  <si>
    <t>Creativity and Innovation Techniques</t>
  </si>
  <si>
    <t>NDT Level II Certification in Ultrasonic Technique</t>
  </si>
  <si>
    <t>Non-Destructive Testing and Failure Analysis of Castings, Forgings, Weldments and Tubes</t>
  </si>
  <si>
    <t>Training program on "Advanced Project Management with MS Project"</t>
  </si>
  <si>
    <t>Best Practices in HR Management for Power Utilities</t>
  </si>
  <si>
    <t>Care4cable Underground Cable Workshop</t>
  </si>
  <si>
    <t>Knowledge Cluster Pvt. Ltd.</t>
  </si>
  <si>
    <t>Best Practices for Underground Cables</t>
  </si>
  <si>
    <t>IEEMA</t>
  </si>
  <si>
    <t xml:space="preserve">Network Administration: Configuring &amp; Securing LANs and WANs </t>
  </si>
  <si>
    <t>Post Disaster Needs Assessment (PDNA)</t>
  </si>
  <si>
    <t>Gender Sensitization</t>
  </si>
  <si>
    <t>Rajkot</t>
  </si>
  <si>
    <t>Trends in IEC 61850 Technologies and Conformance Testing</t>
  </si>
  <si>
    <t>Central Power Research Institute</t>
  </si>
  <si>
    <t>ICOLD Annual Meeting &amp; International Symposium</t>
  </si>
  <si>
    <t>Indian Committee on Large Dams (INCOLD)</t>
  </si>
  <si>
    <t>6 days "Leadership Development Program"</t>
  </si>
  <si>
    <t>Dry Type Transformer</t>
  </si>
  <si>
    <t>Data Analytics, Condition Monitoring &amp; Failure Analysis for Substation equipmnets</t>
  </si>
  <si>
    <t>Exhibition and Conference -TransTech India 2024</t>
  </si>
  <si>
    <t>Fire Protection Systems in Industries and Power Section</t>
  </si>
  <si>
    <t>IT/Comm. Technology in Smart matering (Job Role-3)</t>
  </si>
  <si>
    <t>AMI Data Analytics and Data Application (Job Role-4)</t>
  </si>
  <si>
    <t>Laboratory Quality Management System and Internal Audit as per IS/ISO/IEC 17025:2017 - Training Calender 2024-25</t>
  </si>
  <si>
    <t>Bureau of Indian Standards</t>
  </si>
  <si>
    <t>Measurement Uncertainty (MU)-Training Calender 2024-25</t>
  </si>
  <si>
    <t>Inter Lab Comparison, Proficiency Testing and Evaluation of Scores (ILC,PT)- Training Calender 2024-25</t>
  </si>
  <si>
    <t>Workshop on Disciplinary Actions &amp; Related Laws</t>
  </si>
  <si>
    <t>Workshop on “Smart Metering”</t>
  </si>
  <si>
    <t>Conference on Net Zero Strategies and Green Power Procurement for Corporates</t>
  </si>
  <si>
    <t xml:space="preserve">Industrial Electrical Safety </t>
  </si>
  <si>
    <t>Metering India 2024- 10 International Seminar on Sustainable &amp; Consumer Centric Utilities towards Net Zero</t>
  </si>
  <si>
    <t>8th Annual Conference of Power Distribution Utilities for Collaborative Growth</t>
  </si>
  <si>
    <t>India Smart Grid Forum (ISGF)</t>
  </si>
  <si>
    <t>Personal &amp; Organizatinal Cyber Security Essentials</t>
  </si>
  <si>
    <t>National Productivity Council</t>
  </si>
  <si>
    <t>Goa</t>
  </si>
  <si>
    <t>Performance Evaluation of HTLS Conductors</t>
  </si>
  <si>
    <t xml:space="preserve">Digitalization, Data Analytics &amp; Change Management </t>
  </si>
  <si>
    <t>Power Finance Corporation (PFC) Ltd.,</t>
  </si>
  <si>
    <t>Solar PV Power Plant &amp; Grid Integration</t>
  </si>
  <si>
    <t>Guwahati</t>
  </si>
  <si>
    <t>3 Days training program on "Vigilance and Disciplinary"</t>
  </si>
  <si>
    <t>Online training program on Laboratory Quality Management Systems &amp; Internal Audit as per IS/ISO/IEC 17025:2017</t>
  </si>
  <si>
    <t>Court Matters and Handling Litigatin for PGVCL Officials</t>
  </si>
  <si>
    <t>3 days Customised training programs for MGVCL Engineers (Batch-1)</t>
  </si>
  <si>
    <t>3 days Customised training programs for MGVCL Engineers (Batch-2)</t>
  </si>
  <si>
    <t>3 days Customised training programs for MGVCL Engineers (Batch-3)</t>
  </si>
  <si>
    <t>9th Third Party Risk Managemnet India Summit 2024</t>
  </si>
  <si>
    <t>Inventicon Business Intelligence Pvt. Ltd.</t>
  </si>
  <si>
    <t>Annual India Coal Conference 2024</t>
  </si>
  <si>
    <t>Accident Investigation and Reporting to avoid reoccurence of smimilar incidents in Future</t>
  </si>
  <si>
    <t>Workshop on "Evaluation of Smart Meters"</t>
  </si>
  <si>
    <t>3 days Customised training programs for MGVCL Engineers (Batch-4)</t>
  </si>
  <si>
    <t>3 days Customised training programs for MGVCL Engineers (Batch-5)</t>
  </si>
  <si>
    <t>Training for Women Professionals on "Reach Where You Aspire To"</t>
  </si>
  <si>
    <t>All India Management Association</t>
  </si>
  <si>
    <t>Workshop on "Energy Storage"</t>
  </si>
  <si>
    <t>Ministry of New &amp; Renewable Energy (MNRE)</t>
  </si>
  <si>
    <t>Cyber Security</t>
  </si>
  <si>
    <t>Regional Tax Conclave</t>
  </si>
  <si>
    <t>Institute of Accountants of India</t>
  </si>
  <si>
    <t>Surat</t>
  </si>
  <si>
    <t>Workshop on "Direct Taxes, Scheduled"</t>
  </si>
  <si>
    <t>Conference on "Future Trends and Innovation in Sprayed Concrete for Underground Structures"</t>
  </si>
  <si>
    <t>Workshop on "RE Integration Challenges</t>
  </si>
  <si>
    <t>IIT Bombay</t>
  </si>
  <si>
    <t>Trainng Program under RDSS Jobe Role - 5</t>
  </si>
  <si>
    <t>Conference on "Pumped Storage for Sustainable Power System-Implementation ; Challenges and Way forward"</t>
  </si>
  <si>
    <t>22nd Annual Confeerence on "Hydro Power India"</t>
  </si>
  <si>
    <t>Conference on :Theraml Generation in India"</t>
  </si>
  <si>
    <t>Sustainable Energy Transition and  Achieving Carbon Neutrality in the Power Sector</t>
  </si>
  <si>
    <t>Live Line Maintenance Techniques using Hot Stick Method up to 220 kv lines</t>
  </si>
  <si>
    <t>Conference on "Renewable Energy"</t>
  </si>
  <si>
    <t>Society of Power Engineers(I)</t>
  </si>
  <si>
    <t>25th Regulators &amp; Policymakers Retreat</t>
  </si>
  <si>
    <t>Safety and Performance Evaluation of Cables &amp; Accessories</t>
  </si>
  <si>
    <t>Tariff Policy-Basics of Tariff Calculation &amp; Procedure/ Information Required for Preparation of Tariff Petition (ARR) &amp; Energy Scheduling</t>
  </si>
  <si>
    <t>"Cyber Security"Training Program for Power Sector</t>
  </si>
  <si>
    <t>IHUB NIHAC Foundation &amp; Central Electricity Authority</t>
  </si>
  <si>
    <t>Drafting Commercial Contracts, Identifying Contractual Risks, Insurance Negotiations &amp; Dispute Management</t>
  </si>
  <si>
    <t>Coconut Media Box</t>
  </si>
  <si>
    <t>Behaviur Based Safety</t>
  </si>
  <si>
    <t>Seminar on "Hybrid Renewable Energy, Grid Booster Storage and Gen Z loads : Reliability &amp; Demand Side Challenges"</t>
  </si>
  <si>
    <t>Central Electricity Authority</t>
  </si>
  <si>
    <t>National Electrical Code of India-2023</t>
  </si>
  <si>
    <t>Underground Cables Selection, Sizing, laying, Monitoring &amp; Fault Detection</t>
  </si>
  <si>
    <t xml:space="preserve">Ethics and Values in Public administration </t>
  </si>
  <si>
    <t>Practical Training Program on ICS/OT Level-2</t>
  </si>
  <si>
    <t>Centre for Development of Advanced Computing</t>
  </si>
  <si>
    <t>3rd DISCOM Conclave 2025</t>
  </si>
  <si>
    <t>PHDCCI,New Delhi</t>
  </si>
  <si>
    <t>Workshop on "Road for EV Charging Infrastructure Network"</t>
  </si>
  <si>
    <t>GERMI</t>
  </si>
  <si>
    <t>Enhancing Managerial Competence</t>
  </si>
  <si>
    <t>NTPC School of Business</t>
  </si>
  <si>
    <t>Workshop on Electricity Regulations (Day-1)</t>
  </si>
  <si>
    <t>IRADe</t>
  </si>
  <si>
    <t>Workshop on Electricity Regulations (Day-2)</t>
  </si>
  <si>
    <t>3 days customised training program for PGVCL Finance Officials</t>
  </si>
  <si>
    <t>3 days customised training program for PGVCL HR Officials</t>
  </si>
  <si>
    <t>3 days customised training program for PGVCL Engineers (BATCH-1)</t>
  </si>
  <si>
    <t>3 days customised training program for PGVCL Engineers (BATCH-2)</t>
  </si>
  <si>
    <t>3 days customised training program for PGVCL Engineers  (BATCH-3)</t>
  </si>
  <si>
    <t>ELECRAMA - 2025 Invitation for Domestic Buyer Seller Meet (DBSM)</t>
  </si>
  <si>
    <t>Training program on Energy Efficient Technologies in Thermal Power Plant</t>
  </si>
  <si>
    <t>Distribution loss Reduction- Electricity theft-issues, Challenges and Remedial Measures</t>
  </si>
  <si>
    <t>General Network Access (Open Access), Power Trading &amp; Energy Exchanges</t>
  </si>
  <si>
    <t>ICC Gujarat Renewable Energy Conclave</t>
  </si>
  <si>
    <t>Indian Chamber of Commerce (ICC)</t>
  </si>
  <si>
    <t>Regional Cost Convention - Feb-2025</t>
  </si>
  <si>
    <t>The Institute of Cost Accountant of India</t>
  </si>
  <si>
    <t>Prevention &amp; Detection of Frauds in Procurement &amp; Contracts 2025</t>
  </si>
  <si>
    <t>Indian Knowledge Center</t>
  </si>
  <si>
    <t xml:space="preserve">National Level Vendor Development program cum Industrial Exhibition </t>
  </si>
  <si>
    <t>MSME-Development &amp; Facilitation Office</t>
  </si>
  <si>
    <t>Jamnagar</t>
  </si>
  <si>
    <t>National Summit on Procurement &amp; Contract Management- Best Practices</t>
  </si>
  <si>
    <t>Workshop to review of the progress of Quality Monitoring work under the RDSS</t>
  </si>
  <si>
    <t>Pioneering a Sustainable Energy Transition</t>
  </si>
  <si>
    <t>LBSNAA</t>
  </si>
  <si>
    <t>Mussoorie</t>
  </si>
  <si>
    <t>Workshop on "Strategic Financial Management</t>
  </si>
  <si>
    <t>NTPC Ltd.</t>
  </si>
  <si>
    <t>eTECHnxt 2025 conference 2025</t>
  </si>
  <si>
    <t>Bureau of Energy Efficiency</t>
  </si>
  <si>
    <t>Celebration of Women on Mission</t>
  </si>
  <si>
    <t>Power Purchase Agreement (PPA) and its Intricacies</t>
  </si>
  <si>
    <t>Lineman Diwas 2025</t>
  </si>
  <si>
    <t>Smart Energy and Smart Mobility (India Smart Utility Week 2025)</t>
  </si>
  <si>
    <t>GRIDCON 2025</t>
  </si>
  <si>
    <t>Power Grid</t>
  </si>
  <si>
    <t>Communication Skill and behavior Management</t>
  </si>
  <si>
    <t>Time &amp; Stress Management</t>
  </si>
  <si>
    <t>Smart grid for Electric Utilities</t>
  </si>
  <si>
    <t>Role of Market in India's Energy Transition</t>
  </si>
  <si>
    <t>IEX Academy</t>
  </si>
  <si>
    <t>Bombay</t>
  </si>
  <si>
    <t>Digitalization and Data Analytics for DISCOMs</t>
  </si>
  <si>
    <t>GIZ Office</t>
  </si>
  <si>
    <t>Maximizing Boiler Efficiency</t>
  </si>
  <si>
    <t>Use of Artificial intelligence (AI) in HSE Management of Industries</t>
  </si>
  <si>
    <t>ICW</t>
  </si>
  <si>
    <t>5 days training on "Leadership Development Program(Level-2)</t>
  </si>
  <si>
    <t>Indian School of Business (ISB)</t>
  </si>
  <si>
    <t>Mohali</t>
  </si>
  <si>
    <t>Offline</t>
  </si>
  <si>
    <r>
      <t>1</t>
    </r>
    <r>
      <rPr>
        <vertAlign val="superscript"/>
        <sz val="12"/>
        <color theme="1"/>
        <rFont val="Arial"/>
        <family val="2"/>
      </rPr>
      <t>st</t>
    </r>
    <r>
      <rPr>
        <sz val="12"/>
        <color theme="1"/>
        <rFont val="Arial"/>
        <family val="2"/>
      </rPr>
      <t xml:space="preserve"> International conference on Carbon Market (Prakriti-2025)</t>
    </r>
  </si>
  <si>
    <t>External Training Detail For Year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</si>
</sst>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26"/>
      <color theme="1"/>
      <name val="Arial"/>
      <family val="2"/>
    </font>
    <font>
      <sz val="12"/>
      <color theme="1"/>
      <name val="Calibri"/>
      <family val="2"/>
      <scheme val="minor"/>
    </font>
    <font>
      <vertAlign val="superscript"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4">
    <xf numFmtId="0" fontId="0" fillId="0" borderId="0" xfId="0"/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14" fontId="6" fillId="0" borderId="1" xfId="0" applyNumberFormat="1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Alignment="1" applyProtection="1">
      <alignment horizontal="center" vertical="top" wrapText="1"/>
    </xf>
    <xf numFmtId="0" fontId="1" fillId="0" borderId="0" xfId="0" applyFont="1" applyFill="1" applyAlignment="1" applyProtection="1">
      <alignment horizontal="center" vertical="top" wrapText="1"/>
      <protection locked="0"/>
    </xf>
    <xf numFmtId="0" fontId="1" fillId="0" borderId="0" xfId="0" applyFont="1" applyFill="1" applyAlignment="1" applyProtection="1">
      <alignment horizontal="left" vertical="top" wrapText="1"/>
      <protection locked="0"/>
    </xf>
    <xf numFmtId="0" fontId="4" fillId="0" borderId="0" xfId="0" applyFont="1" applyFill="1" applyAlignment="1" applyProtection="1">
      <alignment horizontal="center" vertical="top" wrapText="1"/>
    </xf>
    <xf numFmtId="0" fontId="4" fillId="0" borderId="0" xfId="0" applyFont="1" applyFill="1" applyAlignment="1" applyProtection="1">
      <alignment horizontal="center" vertical="top" wrapText="1"/>
      <protection locked="0"/>
    </xf>
    <xf numFmtId="0" fontId="5" fillId="2" borderId="1" xfId="0" applyFont="1" applyFill="1" applyBorder="1" applyAlignment="1" applyProtection="1">
      <alignment horizontal="center" vertical="top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6" fillId="0" borderId="1" xfId="1" applyFont="1" applyFill="1" applyBorder="1" applyAlignment="1" applyProtection="1">
      <alignment horizontal="center" vertical="top" wrapText="1"/>
    </xf>
    <xf numFmtId="0" fontId="6" fillId="0" borderId="1" xfId="2" applyFont="1" applyFill="1" applyBorder="1" applyAlignment="1" applyProtection="1">
      <alignment horizontal="center" vertical="top" wrapText="1"/>
      <protection locked="0"/>
    </xf>
    <xf numFmtId="14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4" fillId="0" borderId="1" xfId="0" applyFont="1" applyFill="1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 applyProtection="1">
      <alignment horizontal="center" vertical="top" wrapText="1"/>
    </xf>
    <xf numFmtId="14" fontId="6" fillId="0" borderId="1" xfId="2" applyNumberFormat="1" applyFont="1" applyFill="1" applyBorder="1" applyAlignment="1" applyProtection="1">
      <alignment horizontal="center" vertical="top" wrapText="1"/>
      <protection locked="0"/>
    </xf>
    <xf numFmtId="0" fontId="6" fillId="0" borderId="1" xfId="0" applyFont="1" applyFill="1" applyBorder="1" applyAlignment="1" applyProtection="1">
      <alignment horizontal="center" vertical="top" wrapText="1"/>
      <protection locked="0"/>
    </xf>
    <xf numFmtId="0" fontId="4" fillId="0" borderId="1" xfId="0" applyFont="1" applyFill="1" applyBorder="1" applyAlignment="1" applyProtection="1">
      <alignment horizontal="center" vertical="top" wrapText="1"/>
    </xf>
    <xf numFmtId="164" fontId="4" fillId="0" borderId="1" xfId="0" applyNumberFormat="1" applyFont="1" applyFill="1" applyBorder="1" applyAlignment="1" applyProtection="1">
      <alignment horizontal="center" vertical="top" wrapText="1"/>
      <protection locked="0"/>
    </xf>
    <xf numFmtId="14" fontId="6" fillId="0" borderId="1" xfId="2" applyNumberFormat="1" applyFont="1" applyFill="1" applyBorder="1" applyAlignment="1">
      <alignment horizontal="center" vertical="top" wrapText="1"/>
    </xf>
    <xf numFmtId="0" fontId="6" fillId="0" borderId="1" xfId="2" applyFont="1" applyFill="1" applyBorder="1" applyAlignment="1">
      <alignment horizontal="center" vertical="top" wrapText="1"/>
    </xf>
    <xf numFmtId="0" fontId="4" fillId="0" borderId="1" xfId="0" applyFont="1" applyFill="1" applyBorder="1" applyAlignment="1" applyProtection="1">
      <alignment horizontal="center"/>
      <protection locked="0"/>
    </xf>
    <xf numFmtId="0" fontId="8" fillId="0" borderId="1" xfId="0" applyFont="1" applyFill="1" applyBorder="1" applyAlignment="1" applyProtection="1">
      <alignment horizontal="center" vertical="top" wrapText="1"/>
      <protection locked="0"/>
    </xf>
    <xf numFmtId="0" fontId="6" fillId="0" borderId="1" xfId="2" applyFont="1" applyFill="1" applyBorder="1" applyAlignment="1" applyProtection="1">
      <alignment horizontal="center" wrapText="1"/>
      <protection locked="0"/>
    </xf>
    <xf numFmtId="0" fontId="6" fillId="0" borderId="1" xfId="2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 applyProtection="1">
      <alignment horizontal="center" wrapText="1"/>
      <protection locked="0"/>
    </xf>
    <xf numFmtId="0" fontId="7" fillId="0" borderId="0" xfId="0" applyFont="1" applyFill="1" applyAlignment="1" applyProtection="1">
      <alignment vertical="top" wrapText="1"/>
      <protection locked="0"/>
    </xf>
    <xf numFmtId="0" fontId="7" fillId="3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</xf>
    <xf numFmtId="0" fontId="5" fillId="0" borderId="1" xfId="0" applyFont="1" applyFill="1" applyBorder="1" applyAlignment="1" applyProtection="1">
      <alignment horizontal="center" vertical="top" wrapText="1"/>
      <protection locked="0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234"/>
  <sheetViews>
    <sheetView tabSelected="1" zoomScale="85" zoomScaleNormal="85" workbookViewId="0">
      <pane ySplit="6" topLeftCell="A7" activePane="bottomLeft" state="frozen"/>
      <selection pane="bottomLeft" activeCell="Q234" sqref="B2:Q234"/>
    </sheetView>
  </sheetViews>
  <sheetFormatPr defaultColWidth="9.109375" defaultRowHeight="13.8" x14ac:dyDescent="0.3"/>
  <cols>
    <col min="1" max="1" width="9.109375" style="4"/>
    <col min="2" max="2" width="6.5546875" style="3" customWidth="1"/>
    <col min="3" max="3" width="38.88671875" style="5" customWidth="1"/>
    <col min="4" max="4" width="22" style="4" customWidth="1"/>
    <col min="5" max="5" width="13.109375" style="4" customWidth="1"/>
    <col min="6" max="6" width="15.33203125" style="4" customWidth="1"/>
    <col min="7" max="7" width="16.5546875" style="4" customWidth="1"/>
    <col min="8" max="8" width="14.5546875" style="4" customWidth="1"/>
    <col min="9" max="9" width="6.6640625" style="4" customWidth="1"/>
    <col min="10" max="10" width="10.6640625" style="3" customWidth="1"/>
    <col min="11" max="15" width="9.33203125" style="3" customWidth="1"/>
    <col min="16" max="16" width="11.109375" style="3" customWidth="1"/>
    <col min="17" max="17" width="9.33203125" style="3" customWidth="1"/>
    <col min="18" max="16384" width="9.109375" style="4"/>
  </cols>
  <sheetData>
    <row r="2" spans="2:17" ht="38.25" customHeight="1" x14ac:dyDescent="0.3">
      <c r="C2" s="30" t="s">
        <v>323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4" spans="2:17" ht="15" customHeight="1" x14ac:dyDescent="0.3">
      <c r="G4" s="31"/>
      <c r="H4" s="31"/>
      <c r="J4" s="32" t="s">
        <v>0</v>
      </c>
      <c r="K4" s="32"/>
      <c r="L4" s="32"/>
      <c r="M4" s="32"/>
      <c r="N4" s="32"/>
      <c r="O4" s="32"/>
      <c r="P4" s="32"/>
      <c r="Q4" s="32"/>
    </row>
    <row r="5" spans="2:17" ht="15" customHeight="1" x14ac:dyDescent="0.3">
      <c r="B5" s="6"/>
      <c r="C5" s="7"/>
      <c r="D5" s="7"/>
      <c r="E5" s="7"/>
      <c r="F5" s="7"/>
      <c r="G5" s="33" t="s">
        <v>1</v>
      </c>
      <c r="H5" s="33"/>
      <c r="I5" s="7"/>
      <c r="J5" s="8">
        <f t="shared" ref="J5:Q5" si="0">SUBTOTAL(9,J7:J234)</f>
        <v>108</v>
      </c>
      <c r="K5" s="8">
        <f t="shared" si="0"/>
        <v>247</v>
      </c>
      <c r="L5" s="8">
        <f t="shared" si="0"/>
        <v>460</v>
      </c>
      <c r="M5" s="8">
        <f t="shared" si="0"/>
        <v>687</v>
      </c>
      <c r="N5" s="8">
        <f t="shared" si="0"/>
        <v>418</v>
      </c>
      <c r="O5" s="8">
        <f t="shared" si="0"/>
        <v>117</v>
      </c>
      <c r="P5" s="8">
        <f t="shared" si="0"/>
        <v>319</v>
      </c>
      <c r="Q5" s="8">
        <f t="shared" si="0"/>
        <v>2356</v>
      </c>
    </row>
    <row r="6" spans="2:17" ht="76.5" customHeight="1" x14ac:dyDescent="0.3">
      <c r="B6" s="9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0" t="s">
        <v>10</v>
      </c>
      <c r="K6" s="10" t="s">
        <v>11</v>
      </c>
      <c r="L6" s="10" t="s">
        <v>12</v>
      </c>
      <c r="M6" s="10" t="s">
        <v>13</v>
      </c>
      <c r="N6" s="10" t="s">
        <v>14</v>
      </c>
      <c r="O6" s="10" t="s">
        <v>15</v>
      </c>
      <c r="P6" s="10" t="s">
        <v>16</v>
      </c>
      <c r="Q6" s="10" t="s">
        <v>17</v>
      </c>
    </row>
    <row r="7" spans="2:17" ht="60" x14ac:dyDescent="0.3">
      <c r="B7" s="11">
        <v>1</v>
      </c>
      <c r="C7" s="12" t="s">
        <v>18</v>
      </c>
      <c r="D7" s="12" t="s">
        <v>19</v>
      </c>
      <c r="E7" s="12" t="s">
        <v>321</v>
      </c>
      <c r="F7" s="12" t="s">
        <v>20</v>
      </c>
      <c r="G7" s="13">
        <v>45411</v>
      </c>
      <c r="H7" s="13">
        <v>45436</v>
      </c>
      <c r="I7" s="14">
        <f>IF(G7="","",H7-G7+1)</f>
        <v>26</v>
      </c>
      <c r="J7" s="15">
        <v>0</v>
      </c>
      <c r="K7" s="15">
        <v>5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5</v>
      </c>
    </row>
    <row r="8" spans="2:17" ht="60" x14ac:dyDescent="0.3">
      <c r="B8" s="11">
        <f>IF(C8="","",B7+1)</f>
        <v>2</v>
      </c>
      <c r="C8" s="12" t="s">
        <v>21</v>
      </c>
      <c r="D8" s="14" t="s">
        <v>22</v>
      </c>
      <c r="E8" s="12" t="s">
        <v>321</v>
      </c>
      <c r="F8" s="12" t="s">
        <v>24</v>
      </c>
      <c r="G8" s="16">
        <v>45407</v>
      </c>
      <c r="H8" s="16">
        <v>45408</v>
      </c>
      <c r="I8" s="14">
        <f t="shared" ref="I8:I73" si="1">IF(G8="","",H8-G8+1)</f>
        <v>2</v>
      </c>
      <c r="J8" s="15">
        <v>0</v>
      </c>
      <c r="K8" s="15">
        <v>7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7</v>
      </c>
    </row>
    <row r="9" spans="2:17" ht="43.5" customHeight="1" x14ac:dyDescent="0.3">
      <c r="B9" s="11">
        <f t="shared" ref="B9:B72" si="2">IF(C9="","",B8+1)</f>
        <v>3</v>
      </c>
      <c r="C9" s="12" t="s">
        <v>25</v>
      </c>
      <c r="D9" s="12" t="s">
        <v>26</v>
      </c>
      <c r="E9" s="12" t="s">
        <v>321</v>
      </c>
      <c r="F9" s="12" t="s">
        <v>24</v>
      </c>
      <c r="G9" s="16">
        <v>45401</v>
      </c>
      <c r="H9" s="16">
        <v>45402</v>
      </c>
      <c r="I9" s="14">
        <f t="shared" si="1"/>
        <v>2</v>
      </c>
      <c r="J9" s="15">
        <v>0</v>
      </c>
      <c r="K9" s="15">
        <v>2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2</v>
      </c>
    </row>
    <row r="10" spans="2:17" ht="42" customHeight="1" x14ac:dyDescent="0.3">
      <c r="B10" s="11">
        <f t="shared" si="2"/>
        <v>4</v>
      </c>
      <c r="C10" s="12" t="s">
        <v>27</v>
      </c>
      <c r="D10" s="12" t="s">
        <v>22</v>
      </c>
      <c r="E10" s="12" t="s">
        <v>321</v>
      </c>
      <c r="F10" s="12" t="s">
        <v>23</v>
      </c>
      <c r="G10" s="16">
        <v>45408</v>
      </c>
      <c r="H10" s="16">
        <v>45408</v>
      </c>
      <c r="I10" s="14">
        <f t="shared" si="1"/>
        <v>1</v>
      </c>
      <c r="J10" s="15">
        <v>0</v>
      </c>
      <c r="K10" s="15">
        <v>3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3</v>
      </c>
    </row>
    <row r="11" spans="2:17" ht="30" x14ac:dyDescent="0.3">
      <c r="B11" s="11">
        <f t="shared" si="2"/>
        <v>5</v>
      </c>
      <c r="C11" s="12" t="s">
        <v>28</v>
      </c>
      <c r="D11" s="12" t="s">
        <v>19</v>
      </c>
      <c r="E11" s="12" t="s">
        <v>321</v>
      </c>
      <c r="F11" s="12" t="s">
        <v>30</v>
      </c>
      <c r="G11" s="16">
        <v>45418</v>
      </c>
      <c r="H11" s="16">
        <v>45422</v>
      </c>
      <c r="I11" s="14">
        <f t="shared" si="1"/>
        <v>5</v>
      </c>
      <c r="J11" s="15">
        <v>0</v>
      </c>
      <c r="K11" s="15">
        <v>0</v>
      </c>
      <c r="L11" s="15">
        <v>0</v>
      </c>
      <c r="M11" s="15">
        <v>0</v>
      </c>
      <c r="N11" s="15">
        <v>2</v>
      </c>
      <c r="O11" s="15">
        <v>0</v>
      </c>
      <c r="P11" s="15">
        <v>0</v>
      </c>
      <c r="Q11" s="15">
        <v>2</v>
      </c>
    </row>
    <row r="12" spans="2:17" ht="60" x14ac:dyDescent="0.3">
      <c r="B12" s="11">
        <f t="shared" si="2"/>
        <v>6</v>
      </c>
      <c r="C12" s="12" t="s">
        <v>31</v>
      </c>
      <c r="D12" s="12" t="s">
        <v>32</v>
      </c>
      <c r="E12" s="12" t="s">
        <v>321</v>
      </c>
      <c r="F12" s="12" t="s">
        <v>33</v>
      </c>
      <c r="G12" s="16">
        <v>45429</v>
      </c>
      <c r="H12" s="16">
        <v>45429</v>
      </c>
      <c r="I12" s="14">
        <f t="shared" si="1"/>
        <v>1</v>
      </c>
      <c r="J12" s="15">
        <v>0</v>
      </c>
      <c r="K12" s="15">
        <v>0</v>
      </c>
      <c r="L12" s="15">
        <v>0</v>
      </c>
      <c r="M12" s="15">
        <v>0</v>
      </c>
      <c r="N12" s="15">
        <v>5</v>
      </c>
      <c r="O12" s="15">
        <v>0</v>
      </c>
      <c r="P12" s="15">
        <v>0</v>
      </c>
      <c r="Q12" s="15">
        <v>5</v>
      </c>
    </row>
    <row r="13" spans="2:17" ht="15" customHeight="1" x14ac:dyDescent="0.3">
      <c r="B13" s="11">
        <f t="shared" si="2"/>
        <v>7</v>
      </c>
      <c r="C13" s="12" t="s">
        <v>34</v>
      </c>
      <c r="D13" s="12" t="s">
        <v>35</v>
      </c>
      <c r="E13" s="12" t="s">
        <v>321</v>
      </c>
      <c r="F13" s="12" t="s">
        <v>36</v>
      </c>
      <c r="G13" s="16">
        <v>45439</v>
      </c>
      <c r="H13" s="16">
        <v>45443</v>
      </c>
      <c r="I13" s="14">
        <f t="shared" si="1"/>
        <v>5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1</v>
      </c>
      <c r="Q13" s="15">
        <v>1</v>
      </c>
    </row>
    <row r="14" spans="2:17" ht="30" x14ac:dyDescent="0.3">
      <c r="B14" s="11">
        <f t="shared" si="2"/>
        <v>8</v>
      </c>
      <c r="C14" s="12" t="s">
        <v>37</v>
      </c>
      <c r="D14" s="12" t="s">
        <v>38</v>
      </c>
      <c r="E14" s="12" t="s">
        <v>321</v>
      </c>
      <c r="F14" s="12" t="s">
        <v>23</v>
      </c>
      <c r="G14" s="16">
        <v>45442</v>
      </c>
      <c r="H14" s="16">
        <v>45443</v>
      </c>
      <c r="I14" s="14">
        <f t="shared" si="1"/>
        <v>2</v>
      </c>
      <c r="J14" s="15">
        <v>0</v>
      </c>
      <c r="K14" s="15">
        <v>0</v>
      </c>
      <c r="L14" s="15">
        <v>0</v>
      </c>
      <c r="M14" s="15">
        <v>0</v>
      </c>
      <c r="N14" s="15">
        <v>2</v>
      </c>
      <c r="O14" s="15">
        <v>0</v>
      </c>
      <c r="P14" s="15">
        <v>2</v>
      </c>
      <c r="Q14" s="15">
        <v>4</v>
      </c>
    </row>
    <row r="15" spans="2:17" ht="29.25" customHeight="1" x14ac:dyDescent="0.3">
      <c r="B15" s="11">
        <f t="shared" si="2"/>
        <v>9</v>
      </c>
      <c r="C15" s="12" t="s">
        <v>39</v>
      </c>
      <c r="D15" s="12" t="s">
        <v>22</v>
      </c>
      <c r="E15" s="12" t="s">
        <v>321</v>
      </c>
      <c r="F15" s="12" t="s">
        <v>23</v>
      </c>
      <c r="G15" s="16">
        <v>45428</v>
      </c>
      <c r="H15" s="16">
        <v>45429</v>
      </c>
      <c r="I15" s="14">
        <f t="shared" si="1"/>
        <v>2</v>
      </c>
      <c r="J15" s="15">
        <v>2</v>
      </c>
      <c r="K15" s="15">
        <v>4</v>
      </c>
      <c r="L15" s="15">
        <v>9</v>
      </c>
      <c r="M15" s="15">
        <v>0</v>
      </c>
      <c r="N15" s="15">
        <v>0</v>
      </c>
      <c r="O15" s="15">
        <v>0</v>
      </c>
      <c r="P15" s="15">
        <v>0</v>
      </c>
      <c r="Q15" s="15">
        <v>15</v>
      </c>
    </row>
    <row r="16" spans="2:17" ht="23.1" customHeight="1" x14ac:dyDescent="0.3">
      <c r="B16" s="11">
        <f>IF(C16="","",B15+1)</f>
        <v>10</v>
      </c>
      <c r="C16" s="12" t="s">
        <v>40</v>
      </c>
      <c r="D16" s="12" t="s">
        <v>41</v>
      </c>
      <c r="E16" s="12" t="s">
        <v>321</v>
      </c>
      <c r="F16" s="12" t="s">
        <v>23</v>
      </c>
      <c r="G16" s="16">
        <v>45463</v>
      </c>
      <c r="H16" s="16">
        <v>45464</v>
      </c>
      <c r="I16" s="14">
        <f t="shared" si="1"/>
        <v>2</v>
      </c>
      <c r="J16" s="15">
        <v>2</v>
      </c>
      <c r="K16" s="15">
        <v>0</v>
      </c>
      <c r="L16" s="15">
        <v>6</v>
      </c>
      <c r="M16" s="15">
        <v>0</v>
      </c>
      <c r="N16" s="15">
        <v>1</v>
      </c>
      <c r="O16" s="15">
        <v>1</v>
      </c>
      <c r="P16" s="15">
        <v>1</v>
      </c>
      <c r="Q16" s="15">
        <v>11</v>
      </c>
    </row>
    <row r="17" spans="2:17" ht="30" x14ac:dyDescent="0.3">
      <c r="B17" s="11">
        <f t="shared" si="2"/>
        <v>11</v>
      </c>
      <c r="C17" s="12" t="s">
        <v>42</v>
      </c>
      <c r="D17" s="12" t="s">
        <v>38</v>
      </c>
      <c r="E17" s="12" t="s">
        <v>321</v>
      </c>
      <c r="F17" s="12" t="s">
        <v>23</v>
      </c>
      <c r="G17" s="16">
        <v>45462</v>
      </c>
      <c r="H17" s="16">
        <v>45462</v>
      </c>
      <c r="I17" s="14">
        <f t="shared" si="1"/>
        <v>1</v>
      </c>
      <c r="J17" s="15">
        <v>2</v>
      </c>
      <c r="K17" s="15">
        <v>0</v>
      </c>
      <c r="L17" s="15">
        <v>8</v>
      </c>
      <c r="M17" s="15">
        <v>0</v>
      </c>
      <c r="N17" s="15">
        <v>0</v>
      </c>
      <c r="O17" s="15">
        <v>0</v>
      </c>
      <c r="P17" s="15">
        <v>0</v>
      </c>
      <c r="Q17" s="15">
        <v>10</v>
      </c>
    </row>
    <row r="18" spans="2:17" ht="30" x14ac:dyDescent="0.3">
      <c r="B18" s="11">
        <f t="shared" si="2"/>
        <v>12</v>
      </c>
      <c r="C18" s="12" t="s">
        <v>43</v>
      </c>
      <c r="D18" s="12" t="s">
        <v>19</v>
      </c>
      <c r="E18" s="12" t="s">
        <v>321</v>
      </c>
      <c r="F18" s="12" t="s">
        <v>44</v>
      </c>
      <c r="G18" s="16">
        <v>45467</v>
      </c>
      <c r="H18" s="16">
        <v>45472</v>
      </c>
      <c r="I18" s="14">
        <f t="shared" si="1"/>
        <v>6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5</v>
      </c>
      <c r="Q18" s="15">
        <v>6</v>
      </c>
    </row>
    <row r="19" spans="2:17" ht="45" x14ac:dyDescent="0.3">
      <c r="B19" s="11">
        <f t="shared" si="2"/>
        <v>13</v>
      </c>
      <c r="C19" s="12" t="s">
        <v>34</v>
      </c>
      <c r="D19" s="12" t="s">
        <v>35</v>
      </c>
      <c r="E19" s="12" t="s">
        <v>321</v>
      </c>
      <c r="F19" s="12" t="s">
        <v>36</v>
      </c>
      <c r="G19" s="16">
        <v>45461</v>
      </c>
      <c r="H19" s="16">
        <v>45465</v>
      </c>
      <c r="I19" s="14">
        <f t="shared" si="1"/>
        <v>5</v>
      </c>
      <c r="J19" s="15">
        <v>2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2</v>
      </c>
    </row>
    <row r="20" spans="2:17" ht="33.75" customHeight="1" x14ac:dyDescent="0.3">
      <c r="B20" s="11">
        <f t="shared" si="2"/>
        <v>14</v>
      </c>
      <c r="C20" s="17" t="s">
        <v>45</v>
      </c>
      <c r="D20" s="17" t="s">
        <v>46</v>
      </c>
      <c r="E20" s="14" t="s">
        <v>321</v>
      </c>
      <c r="F20" s="17" t="s">
        <v>23</v>
      </c>
      <c r="G20" s="2">
        <v>45397</v>
      </c>
      <c r="H20" s="2">
        <v>45399</v>
      </c>
      <c r="I20" s="14">
        <f t="shared" si="1"/>
        <v>3</v>
      </c>
      <c r="J20" s="15">
        <v>0</v>
      </c>
      <c r="K20" s="15">
        <v>0</v>
      </c>
      <c r="L20" s="15">
        <v>0</v>
      </c>
      <c r="M20" s="15">
        <v>0</v>
      </c>
      <c r="N20" s="15">
        <v>29</v>
      </c>
      <c r="O20" s="15">
        <v>0</v>
      </c>
      <c r="P20" s="15">
        <v>0</v>
      </c>
      <c r="Q20" s="15">
        <v>29</v>
      </c>
    </row>
    <row r="21" spans="2:17" ht="28.5" customHeight="1" x14ac:dyDescent="0.3">
      <c r="B21" s="11">
        <f t="shared" si="2"/>
        <v>15</v>
      </c>
      <c r="C21" s="17" t="s">
        <v>45</v>
      </c>
      <c r="D21" s="17" t="s">
        <v>46</v>
      </c>
      <c r="E21" s="14" t="s">
        <v>321</v>
      </c>
      <c r="F21" s="17" t="s">
        <v>23</v>
      </c>
      <c r="G21" s="2">
        <v>45404</v>
      </c>
      <c r="H21" s="2">
        <v>45406</v>
      </c>
      <c r="I21" s="14">
        <f t="shared" si="1"/>
        <v>3</v>
      </c>
      <c r="J21" s="15">
        <v>0</v>
      </c>
      <c r="K21" s="15">
        <v>0</v>
      </c>
      <c r="L21" s="15">
        <v>0</v>
      </c>
      <c r="M21" s="15">
        <v>0</v>
      </c>
      <c r="N21" s="15">
        <v>29</v>
      </c>
      <c r="O21" s="15">
        <v>0</v>
      </c>
      <c r="P21" s="15">
        <v>0</v>
      </c>
      <c r="Q21" s="15">
        <v>29</v>
      </c>
    </row>
    <row r="22" spans="2:17" ht="30" x14ac:dyDescent="0.3">
      <c r="B22" s="11">
        <f t="shared" si="2"/>
        <v>16</v>
      </c>
      <c r="C22" s="17" t="s">
        <v>45</v>
      </c>
      <c r="D22" s="17" t="s">
        <v>46</v>
      </c>
      <c r="E22" s="14" t="s">
        <v>321</v>
      </c>
      <c r="F22" s="17" t="s">
        <v>23</v>
      </c>
      <c r="G22" s="2">
        <v>45411</v>
      </c>
      <c r="H22" s="2">
        <v>45413</v>
      </c>
      <c r="I22" s="14">
        <f t="shared" si="1"/>
        <v>3</v>
      </c>
      <c r="J22" s="15">
        <v>0</v>
      </c>
      <c r="K22" s="15">
        <v>0</v>
      </c>
      <c r="L22" s="15">
        <v>0</v>
      </c>
      <c r="M22" s="15">
        <v>0</v>
      </c>
      <c r="N22" s="15">
        <v>27</v>
      </c>
      <c r="O22" s="15">
        <v>0</v>
      </c>
      <c r="P22" s="15">
        <v>0</v>
      </c>
      <c r="Q22" s="15">
        <v>27</v>
      </c>
    </row>
    <row r="23" spans="2:17" ht="30" x14ac:dyDescent="0.3">
      <c r="B23" s="11">
        <f t="shared" si="2"/>
        <v>17</v>
      </c>
      <c r="C23" s="17" t="s">
        <v>45</v>
      </c>
      <c r="D23" s="17" t="s">
        <v>46</v>
      </c>
      <c r="E23" s="14" t="s">
        <v>321</v>
      </c>
      <c r="F23" s="17" t="s">
        <v>23</v>
      </c>
      <c r="G23" s="2">
        <v>45425</v>
      </c>
      <c r="H23" s="2">
        <v>45427</v>
      </c>
      <c r="I23" s="14">
        <f t="shared" si="1"/>
        <v>3</v>
      </c>
      <c r="J23" s="15">
        <v>0</v>
      </c>
      <c r="K23" s="15">
        <v>0</v>
      </c>
      <c r="L23" s="15">
        <v>0</v>
      </c>
      <c r="M23" s="15">
        <v>0</v>
      </c>
      <c r="N23" s="15">
        <v>34</v>
      </c>
      <c r="O23" s="15">
        <v>0</v>
      </c>
      <c r="P23" s="15">
        <v>0</v>
      </c>
      <c r="Q23" s="15">
        <v>34</v>
      </c>
    </row>
    <row r="24" spans="2:17" ht="30" x14ac:dyDescent="0.3">
      <c r="B24" s="11">
        <f t="shared" si="2"/>
        <v>18</v>
      </c>
      <c r="C24" s="17" t="s">
        <v>45</v>
      </c>
      <c r="D24" s="17" t="s">
        <v>46</v>
      </c>
      <c r="E24" s="14" t="s">
        <v>321</v>
      </c>
      <c r="F24" s="17" t="s">
        <v>23</v>
      </c>
      <c r="G24" s="2">
        <v>45432</v>
      </c>
      <c r="H24" s="2">
        <v>45434</v>
      </c>
      <c r="I24" s="14">
        <f t="shared" si="1"/>
        <v>3</v>
      </c>
      <c r="J24" s="15">
        <v>0</v>
      </c>
      <c r="K24" s="15">
        <v>0</v>
      </c>
      <c r="L24" s="15">
        <v>0</v>
      </c>
      <c r="M24" s="15">
        <v>0</v>
      </c>
      <c r="N24" s="15">
        <v>31</v>
      </c>
      <c r="O24" s="15">
        <v>0</v>
      </c>
      <c r="P24" s="15">
        <v>0</v>
      </c>
      <c r="Q24" s="15">
        <v>31</v>
      </c>
    </row>
    <row r="25" spans="2:17" ht="30" x14ac:dyDescent="0.3">
      <c r="B25" s="11">
        <f t="shared" si="2"/>
        <v>19</v>
      </c>
      <c r="C25" s="17" t="s">
        <v>45</v>
      </c>
      <c r="D25" s="17" t="s">
        <v>47</v>
      </c>
      <c r="E25" s="14" t="s">
        <v>321</v>
      </c>
      <c r="F25" s="17" t="s">
        <v>23</v>
      </c>
      <c r="G25" s="2">
        <v>45439</v>
      </c>
      <c r="H25" s="2">
        <v>45441</v>
      </c>
      <c r="I25" s="14">
        <f t="shared" si="1"/>
        <v>3</v>
      </c>
      <c r="J25" s="15">
        <v>0</v>
      </c>
      <c r="K25" s="15">
        <v>0</v>
      </c>
      <c r="L25" s="15">
        <v>0</v>
      </c>
      <c r="M25" s="15">
        <v>0</v>
      </c>
      <c r="N25" s="15">
        <v>29</v>
      </c>
      <c r="O25" s="15">
        <v>0</v>
      </c>
      <c r="P25" s="15">
        <v>0</v>
      </c>
      <c r="Q25" s="15">
        <v>29</v>
      </c>
    </row>
    <row r="26" spans="2:17" ht="45" x14ac:dyDescent="0.3">
      <c r="B26" s="11">
        <f t="shared" si="2"/>
        <v>20</v>
      </c>
      <c r="C26" s="12" t="s">
        <v>48</v>
      </c>
      <c r="D26" s="12" t="s">
        <v>49</v>
      </c>
      <c r="E26" s="12" t="s">
        <v>51</v>
      </c>
      <c r="F26" s="12" t="s">
        <v>51</v>
      </c>
      <c r="G26" s="16">
        <v>45434</v>
      </c>
      <c r="H26" s="16">
        <v>45434</v>
      </c>
      <c r="I26" s="14">
        <f t="shared" si="1"/>
        <v>1</v>
      </c>
      <c r="J26" s="15">
        <v>0</v>
      </c>
      <c r="K26" s="15">
        <v>0</v>
      </c>
      <c r="L26" s="15">
        <v>25</v>
      </c>
      <c r="M26" s="15">
        <v>0</v>
      </c>
      <c r="N26" s="15">
        <v>0</v>
      </c>
      <c r="O26" s="15">
        <v>0</v>
      </c>
      <c r="P26" s="15">
        <v>0</v>
      </c>
      <c r="Q26" s="15">
        <v>25</v>
      </c>
    </row>
    <row r="27" spans="2:17" ht="30" x14ac:dyDescent="0.3">
      <c r="B27" s="11">
        <f t="shared" si="2"/>
        <v>21</v>
      </c>
      <c r="C27" s="14" t="s">
        <v>52</v>
      </c>
      <c r="D27" s="17" t="s">
        <v>53</v>
      </c>
      <c r="E27" s="14" t="s">
        <v>321</v>
      </c>
      <c r="F27" s="17" t="s">
        <v>54</v>
      </c>
      <c r="G27" s="2">
        <v>45439</v>
      </c>
      <c r="H27" s="2">
        <v>45444</v>
      </c>
      <c r="I27" s="14">
        <f>IF(G27="","",H27-G27+1)</f>
        <v>6</v>
      </c>
      <c r="J27" s="15">
        <v>4</v>
      </c>
      <c r="K27" s="15">
        <v>4</v>
      </c>
      <c r="L27" s="15">
        <v>5</v>
      </c>
      <c r="M27" s="15">
        <v>4</v>
      </c>
      <c r="N27" s="15">
        <v>5</v>
      </c>
      <c r="O27" s="15">
        <v>4</v>
      </c>
      <c r="P27" s="15">
        <v>4</v>
      </c>
      <c r="Q27" s="15">
        <v>30</v>
      </c>
    </row>
    <row r="28" spans="2:17" ht="30" x14ac:dyDescent="0.3">
      <c r="B28" s="11">
        <f t="shared" si="2"/>
        <v>22</v>
      </c>
      <c r="C28" s="14" t="s">
        <v>55</v>
      </c>
      <c r="D28" s="14" t="s">
        <v>56</v>
      </c>
      <c r="E28" s="14" t="s">
        <v>321</v>
      </c>
      <c r="F28" s="14" t="s">
        <v>57</v>
      </c>
      <c r="G28" s="13">
        <v>45451</v>
      </c>
      <c r="H28" s="13">
        <v>45455</v>
      </c>
      <c r="I28" s="14">
        <f>IF(G28="","",H28-G28+1)</f>
        <v>5</v>
      </c>
      <c r="J28" s="15">
        <v>4</v>
      </c>
      <c r="K28" s="15">
        <v>4</v>
      </c>
      <c r="L28" s="15">
        <v>4</v>
      </c>
      <c r="M28" s="15">
        <v>4</v>
      </c>
      <c r="N28" s="15">
        <v>4</v>
      </c>
      <c r="O28" s="15">
        <v>5</v>
      </c>
      <c r="P28" s="15">
        <v>4</v>
      </c>
      <c r="Q28" s="15">
        <v>29</v>
      </c>
    </row>
    <row r="29" spans="2:17" ht="30.9" customHeight="1" x14ac:dyDescent="0.3">
      <c r="B29" s="11">
        <f t="shared" si="2"/>
        <v>23</v>
      </c>
      <c r="C29" s="12" t="s">
        <v>58</v>
      </c>
      <c r="D29" s="12" t="s">
        <v>59</v>
      </c>
      <c r="E29" s="12" t="s">
        <v>321</v>
      </c>
      <c r="F29" s="12" t="s">
        <v>24</v>
      </c>
      <c r="G29" s="16">
        <v>45442</v>
      </c>
      <c r="H29" s="16">
        <v>45442</v>
      </c>
      <c r="I29" s="14">
        <f>IF(G29="","",H29-G29+1)</f>
        <v>1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5</v>
      </c>
      <c r="Q29" s="15">
        <v>5</v>
      </c>
    </row>
    <row r="30" spans="2:17" ht="45" x14ac:dyDescent="0.3">
      <c r="B30" s="11">
        <f t="shared" si="2"/>
        <v>24</v>
      </c>
      <c r="C30" s="12" t="s">
        <v>60</v>
      </c>
      <c r="D30" s="12" t="s">
        <v>19</v>
      </c>
      <c r="E30" s="12" t="s">
        <v>321</v>
      </c>
      <c r="F30" s="12" t="s">
        <v>61</v>
      </c>
      <c r="G30" s="16">
        <v>45446</v>
      </c>
      <c r="H30" s="16">
        <v>45520</v>
      </c>
      <c r="I30" s="14">
        <f t="shared" si="1"/>
        <v>75</v>
      </c>
      <c r="J30" s="15">
        <v>0</v>
      </c>
      <c r="K30" s="15">
        <v>2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2</v>
      </c>
    </row>
    <row r="31" spans="2:17" ht="45" x14ac:dyDescent="0.3">
      <c r="B31" s="11">
        <f t="shared" si="2"/>
        <v>25</v>
      </c>
      <c r="C31" s="12" t="s">
        <v>62</v>
      </c>
      <c r="D31" s="12" t="s">
        <v>63</v>
      </c>
      <c r="E31" s="12" t="s">
        <v>321</v>
      </c>
      <c r="F31" s="12" t="s">
        <v>64</v>
      </c>
      <c r="G31" s="16">
        <v>45455</v>
      </c>
      <c r="H31" s="16">
        <v>45457</v>
      </c>
      <c r="I31" s="14">
        <f t="shared" si="1"/>
        <v>3</v>
      </c>
      <c r="J31" s="15">
        <v>0</v>
      </c>
      <c r="K31" s="15">
        <v>0</v>
      </c>
      <c r="L31" s="15">
        <v>0</v>
      </c>
      <c r="M31" s="15">
        <v>2</v>
      </c>
      <c r="N31" s="15">
        <v>0</v>
      </c>
      <c r="O31" s="15">
        <v>0</v>
      </c>
      <c r="P31" s="15">
        <v>2</v>
      </c>
      <c r="Q31" s="15">
        <v>4</v>
      </c>
    </row>
    <row r="32" spans="2:17" ht="45" x14ac:dyDescent="0.3">
      <c r="B32" s="11">
        <f t="shared" si="2"/>
        <v>26</v>
      </c>
      <c r="C32" s="12" t="s">
        <v>65</v>
      </c>
      <c r="D32" s="12" t="s">
        <v>63</v>
      </c>
      <c r="E32" s="12" t="s">
        <v>321</v>
      </c>
      <c r="F32" s="12" t="s">
        <v>64</v>
      </c>
      <c r="G32" s="16">
        <v>45468</v>
      </c>
      <c r="H32" s="16">
        <v>45471</v>
      </c>
      <c r="I32" s="14">
        <f t="shared" si="1"/>
        <v>4</v>
      </c>
      <c r="J32" s="15">
        <v>0</v>
      </c>
      <c r="K32" s="15">
        <v>0</v>
      </c>
      <c r="L32" s="15">
        <v>0</v>
      </c>
      <c r="M32" s="15">
        <v>1</v>
      </c>
      <c r="N32" s="15">
        <v>1</v>
      </c>
      <c r="O32" s="15">
        <v>4</v>
      </c>
      <c r="P32" s="15">
        <v>2</v>
      </c>
      <c r="Q32" s="15">
        <v>8</v>
      </c>
    </row>
    <row r="33" spans="2:17" ht="30" x14ac:dyDescent="0.3">
      <c r="B33" s="11">
        <f t="shared" si="2"/>
        <v>27</v>
      </c>
      <c r="C33" s="12" t="s">
        <v>66</v>
      </c>
      <c r="D33" s="12" t="s">
        <v>67</v>
      </c>
      <c r="E33" s="12" t="s">
        <v>51</v>
      </c>
      <c r="F33" s="12" t="s">
        <v>68</v>
      </c>
      <c r="G33" s="16">
        <v>45450</v>
      </c>
      <c r="H33" s="16">
        <v>45466</v>
      </c>
      <c r="I33" s="14">
        <f t="shared" si="1"/>
        <v>17</v>
      </c>
      <c r="J33" s="15">
        <v>4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4</v>
      </c>
    </row>
    <row r="34" spans="2:17" ht="75" x14ac:dyDescent="0.3">
      <c r="B34" s="11">
        <f t="shared" si="2"/>
        <v>28</v>
      </c>
      <c r="C34" s="12" t="s">
        <v>69</v>
      </c>
      <c r="D34" s="12" t="s">
        <v>70</v>
      </c>
      <c r="E34" s="12" t="s">
        <v>321</v>
      </c>
      <c r="F34" s="12" t="s">
        <v>23</v>
      </c>
      <c r="G34" s="16">
        <v>45456</v>
      </c>
      <c r="H34" s="16">
        <v>45457</v>
      </c>
      <c r="I34" s="14">
        <f t="shared" si="1"/>
        <v>2</v>
      </c>
      <c r="J34" s="15">
        <v>0</v>
      </c>
      <c r="K34" s="15">
        <v>0</v>
      </c>
      <c r="L34" s="15">
        <v>14</v>
      </c>
      <c r="M34" s="15">
        <v>0</v>
      </c>
      <c r="N34" s="15">
        <v>0</v>
      </c>
      <c r="O34" s="15">
        <v>0</v>
      </c>
      <c r="P34" s="15">
        <v>0</v>
      </c>
      <c r="Q34" s="15">
        <v>14</v>
      </c>
    </row>
    <row r="35" spans="2:17" ht="45" x14ac:dyDescent="0.3">
      <c r="B35" s="11">
        <f t="shared" si="2"/>
        <v>29</v>
      </c>
      <c r="C35" s="12" t="s">
        <v>71</v>
      </c>
      <c r="D35" s="12" t="s">
        <v>72</v>
      </c>
      <c r="E35" s="12" t="s">
        <v>321</v>
      </c>
      <c r="F35" s="12" t="s">
        <v>24</v>
      </c>
      <c r="G35" s="16">
        <v>45450</v>
      </c>
      <c r="H35" s="16">
        <v>45451</v>
      </c>
      <c r="I35" s="14">
        <f t="shared" si="1"/>
        <v>2</v>
      </c>
      <c r="J35" s="15">
        <v>3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3</v>
      </c>
    </row>
    <row r="36" spans="2:17" ht="60" x14ac:dyDescent="0.3">
      <c r="B36" s="11">
        <f t="shared" si="2"/>
        <v>30</v>
      </c>
      <c r="C36" s="12" t="s">
        <v>73</v>
      </c>
      <c r="D36" s="12" t="s">
        <v>32</v>
      </c>
      <c r="E36" s="12" t="s">
        <v>321</v>
      </c>
      <c r="F36" s="12" t="s">
        <v>74</v>
      </c>
      <c r="G36" s="16">
        <v>45449</v>
      </c>
      <c r="H36" s="16">
        <v>45449</v>
      </c>
      <c r="I36" s="14">
        <f t="shared" si="1"/>
        <v>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1</v>
      </c>
    </row>
    <row r="37" spans="2:17" ht="30" x14ac:dyDescent="0.3">
      <c r="B37" s="11">
        <f t="shared" si="2"/>
        <v>31</v>
      </c>
      <c r="C37" s="12" t="s">
        <v>75</v>
      </c>
      <c r="D37" s="12" t="s">
        <v>76</v>
      </c>
      <c r="E37" s="12" t="s">
        <v>321</v>
      </c>
      <c r="F37" s="12" t="s">
        <v>77</v>
      </c>
      <c r="G37" s="16">
        <v>45453</v>
      </c>
      <c r="H37" s="16">
        <v>45462</v>
      </c>
      <c r="I37" s="14">
        <f t="shared" si="1"/>
        <v>10</v>
      </c>
      <c r="J37" s="15">
        <v>0</v>
      </c>
      <c r="K37" s="15">
        <v>0</v>
      </c>
      <c r="L37" s="15">
        <v>2</v>
      </c>
      <c r="M37" s="15">
        <v>0</v>
      </c>
      <c r="N37" s="15">
        <v>0</v>
      </c>
      <c r="O37" s="15">
        <v>0</v>
      </c>
      <c r="P37" s="15">
        <v>0</v>
      </c>
      <c r="Q37" s="15">
        <v>2</v>
      </c>
    </row>
    <row r="38" spans="2:17" ht="60" x14ac:dyDescent="0.3">
      <c r="B38" s="11">
        <f t="shared" si="2"/>
        <v>32</v>
      </c>
      <c r="C38" s="12" t="s">
        <v>78</v>
      </c>
      <c r="D38" s="12" t="s">
        <v>32</v>
      </c>
      <c r="E38" s="12" t="s">
        <v>321</v>
      </c>
      <c r="F38" s="12" t="s">
        <v>79</v>
      </c>
      <c r="G38" s="16">
        <v>45464</v>
      </c>
      <c r="H38" s="16">
        <v>45464</v>
      </c>
      <c r="I38" s="14">
        <f t="shared" si="1"/>
        <v>1</v>
      </c>
      <c r="J38" s="15">
        <v>0</v>
      </c>
      <c r="K38" s="15">
        <v>0</v>
      </c>
      <c r="L38" s="15">
        <v>2</v>
      </c>
      <c r="M38" s="15">
        <v>0</v>
      </c>
      <c r="N38" s="15">
        <v>1</v>
      </c>
      <c r="O38" s="15">
        <v>0</v>
      </c>
      <c r="P38" s="15">
        <v>1</v>
      </c>
      <c r="Q38" s="15">
        <v>4</v>
      </c>
    </row>
    <row r="39" spans="2:17" ht="30" x14ac:dyDescent="0.3">
      <c r="B39" s="11">
        <f t="shared" si="2"/>
        <v>33</v>
      </c>
      <c r="C39" s="12" t="s">
        <v>80</v>
      </c>
      <c r="D39" s="12" t="s">
        <v>81</v>
      </c>
      <c r="E39" s="12" t="s">
        <v>321</v>
      </c>
      <c r="F39" s="12" t="s">
        <v>24</v>
      </c>
      <c r="G39" s="16">
        <v>45441</v>
      </c>
      <c r="H39" s="16">
        <v>45443</v>
      </c>
      <c r="I39" s="14">
        <f t="shared" si="1"/>
        <v>3</v>
      </c>
      <c r="J39" s="15">
        <v>0</v>
      </c>
      <c r="K39" s="15">
        <v>0</v>
      </c>
      <c r="L39" s="15">
        <v>8</v>
      </c>
      <c r="M39" s="15">
        <v>0</v>
      </c>
      <c r="N39" s="15">
        <v>0</v>
      </c>
      <c r="O39" s="15">
        <v>0</v>
      </c>
      <c r="P39" s="15">
        <v>0</v>
      </c>
      <c r="Q39" s="15">
        <v>8</v>
      </c>
    </row>
    <row r="40" spans="2:17" ht="45" x14ac:dyDescent="0.3">
      <c r="B40" s="11">
        <f t="shared" si="2"/>
        <v>34</v>
      </c>
      <c r="C40" s="12" t="s">
        <v>82</v>
      </c>
      <c r="D40" s="12" t="s">
        <v>83</v>
      </c>
      <c r="E40" s="12" t="s">
        <v>321</v>
      </c>
      <c r="F40" s="12" t="s">
        <v>79</v>
      </c>
      <c r="G40" s="16">
        <v>45456</v>
      </c>
      <c r="H40" s="16">
        <v>45457</v>
      </c>
      <c r="I40" s="14">
        <f t="shared" si="1"/>
        <v>2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</row>
    <row r="41" spans="2:17" ht="45" x14ac:dyDescent="0.3">
      <c r="B41" s="11">
        <f t="shared" si="2"/>
        <v>35</v>
      </c>
      <c r="C41" s="12" t="s">
        <v>84</v>
      </c>
      <c r="D41" s="12" t="s">
        <v>85</v>
      </c>
      <c r="E41" s="12" t="s">
        <v>321</v>
      </c>
      <c r="F41" s="12" t="s">
        <v>64</v>
      </c>
      <c r="G41" s="16">
        <v>45461</v>
      </c>
      <c r="H41" s="16">
        <v>45464</v>
      </c>
      <c r="I41" s="14">
        <f t="shared" si="1"/>
        <v>4</v>
      </c>
      <c r="J41" s="15">
        <v>0</v>
      </c>
      <c r="K41" s="15">
        <v>0</v>
      </c>
      <c r="L41" s="15">
        <v>5</v>
      </c>
      <c r="M41" s="15">
        <v>0</v>
      </c>
      <c r="N41" s="15">
        <v>0</v>
      </c>
      <c r="O41" s="15">
        <v>0</v>
      </c>
      <c r="P41" s="15">
        <v>0</v>
      </c>
      <c r="Q41" s="15">
        <v>5</v>
      </c>
    </row>
    <row r="42" spans="2:17" ht="30" x14ac:dyDescent="0.3">
      <c r="B42" s="11">
        <f t="shared" si="2"/>
        <v>36</v>
      </c>
      <c r="C42" s="12" t="s">
        <v>86</v>
      </c>
      <c r="D42" s="12" t="s">
        <v>87</v>
      </c>
      <c r="E42" s="12" t="s">
        <v>321</v>
      </c>
      <c r="F42" s="12" t="s">
        <v>23</v>
      </c>
      <c r="G42" s="16">
        <v>45462</v>
      </c>
      <c r="H42" s="16">
        <v>45463</v>
      </c>
      <c r="I42" s="14">
        <f t="shared" si="1"/>
        <v>2</v>
      </c>
      <c r="J42" s="15">
        <v>0</v>
      </c>
      <c r="K42" s="15">
        <v>0</v>
      </c>
      <c r="L42" s="15">
        <v>6</v>
      </c>
      <c r="M42" s="15">
        <v>0</v>
      </c>
      <c r="N42" s="15">
        <v>0</v>
      </c>
      <c r="O42" s="15">
        <v>0</v>
      </c>
      <c r="P42" s="15">
        <v>0</v>
      </c>
      <c r="Q42" s="15">
        <v>6</v>
      </c>
    </row>
    <row r="43" spans="2:17" ht="45" x14ac:dyDescent="0.3">
      <c r="B43" s="11">
        <f t="shared" si="2"/>
        <v>37</v>
      </c>
      <c r="C43" s="12" t="s">
        <v>88</v>
      </c>
      <c r="D43" s="12" t="s">
        <v>49</v>
      </c>
      <c r="E43" s="12" t="s">
        <v>51</v>
      </c>
      <c r="F43" s="12" t="s">
        <v>68</v>
      </c>
      <c r="G43" s="16">
        <v>45463</v>
      </c>
      <c r="H43" s="16">
        <v>45463</v>
      </c>
      <c r="I43" s="14">
        <f t="shared" si="1"/>
        <v>1</v>
      </c>
      <c r="J43" s="15">
        <v>0</v>
      </c>
      <c r="K43" s="15">
        <v>0</v>
      </c>
      <c r="L43" s="15">
        <v>7</v>
      </c>
      <c r="M43" s="15">
        <v>0</v>
      </c>
      <c r="N43" s="15">
        <v>0</v>
      </c>
      <c r="O43" s="15">
        <v>0</v>
      </c>
      <c r="P43" s="15">
        <v>0</v>
      </c>
      <c r="Q43" s="15">
        <v>7</v>
      </c>
    </row>
    <row r="44" spans="2:17" ht="45" x14ac:dyDescent="0.3">
      <c r="B44" s="11">
        <f t="shared" si="2"/>
        <v>38</v>
      </c>
      <c r="C44" s="12" t="s">
        <v>89</v>
      </c>
      <c r="D44" s="12" t="s">
        <v>90</v>
      </c>
      <c r="E44" s="12" t="s">
        <v>321</v>
      </c>
      <c r="F44" s="12" t="s">
        <v>23</v>
      </c>
      <c r="G44" s="16">
        <v>45461</v>
      </c>
      <c r="H44" s="16">
        <v>45464</v>
      </c>
      <c r="I44" s="14">
        <f t="shared" si="1"/>
        <v>4</v>
      </c>
      <c r="J44" s="15">
        <v>0</v>
      </c>
      <c r="K44" s="15">
        <v>0</v>
      </c>
      <c r="L44" s="15">
        <v>1</v>
      </c>
      <c r="M44" s="15">
        <v>0</v>
      </c>
      <c r="N44" s="15">
        <v>0</v>
      </c>
      <c r="O44" s="15">
        <v>0</v>
      </c>
      <c r="P44" s="15">
        <v>0</v>
      </c>
      <c r="Q44" s="15">
        <v>1</v>
      </c>
    </row>
    <row r="45" spans="2:17" ht="30" x14ac:dyDescent="0.3">
      <c r="B45" s="11">
        <f t="shared" si="2"/>
        <v>39</v>
      </c>
      <c r="C45" s="12" t="s">
        <v>91</v>
      </c>
      <c r="D45" s="12" t="s">
        <v>19</v>
      </c>
      <c r="E45" s="12" t="s">
        <v>321</v>
      </c>
      <c r="F45" s="12" t="s">
        <v>29</v>
      </c>
      <c r="G45" s="16">
        <v>45467</v>
      </c>
      <c r="H45" s="16">
        <v>45471</v>
      </c>
      <c r="I45" s="14">
        <f t="shared" si="1"/>
        <v>5</v>
      </c>
      <c r="J45" s="15">
        <v>0</v>
      </c>
      <c r="K45" s="15">
        <v>1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1</v>
      </c>
    </row>
    <row r="46" spans="2:17" ht="90" x14ac:dyDescent="0.3">
      <c r="B46" s="11">
        <f t="shared" si="2"/>
        <v>40</v>
      </c>
      <c r="C46" s="12" t="s">
        <v>92</v>
      </c>
      <c r="D46" s="12" t="s">
        <v>93</v>
      </c>
      <c r="E46" s="12" t="s">
        <v>51</v>
      </c>
      <c r="F46" s="12" t="s">
        <v>68</v>
      </c>
      <c r="G46" s="16">
        <v>45470</v>
      </c>
      <c r="H46" s="16">
        <v>45484</v>
      </c>
      <c r="I46" s="14">
        <f t="shared" si="1"/>
        <v>15</v>
      </c>
      <c r="J46" s="15">
        <v>3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3</v>
      </c>
    </row>
    <row r="47" spans="2:17" ht="45" x14ac:dyDescent="0.3">
      <c r="B47" s="11">
        <f t="shared" si="2"/>
        <v>41</v>
      </c>
      <c r="C47" s="12" t="s">
        <v>94</v>
      </c>
      <c r="D47" s="12" t="s">
        <v>22</v>
      </c>
      <c r="E47" s="12" t="s">
        <v>321</v>
      </c>
      <c r="F47" s="12" t="s">
        <v>23</v>
      </c>
      <c r="G47" s="16">
        <v>45477</v>
      </c>
      <c r="H47" s="16">
        <v>45478</v>
      </c>
      <c r="I47" s="14">
        <f t="shared" si="1"/>
        <v>2</v>
      </c>
      <c r="J47" s="15">
        <v>0</v>
      </c>
      <c r="K47" s="15">
        <v>0</v>
      </c>
      <c r="L47" s="15">
        <v>0</v>
      </c>
      <c r="M47" s="15">
        <v>0</v>
      </c>
      <c r="N47" s="15">
        <v>2</v>
      </c>
      <c r="O47" s="15">
        <v>0</v>
      </c>
      <c r="P47" s="15">
        <v>0</v>
      </c>
      <c r="Q47" s="15">
        <v>2</v>
      </c>
    </row>
    <row r="48" spans="2:17" ht="30" x14ac:dyDescent="0.3">
      <c r="B48" s="11">
        <f t="shared" si="2"/>
        <v>42</v>
      </c>
      <c r="C48" s="12" t="s">
        <v>95</v>
      </c>
      <c r="D48" s="12" t="s">
        <v>96</v>
      </c>
      <c r="E48" s="12" t="s">
        <v>321</v>
      </c>
      <c r="F48" s="12" t="s">
        <v>23</v>
      </c>
      <c r="G48" s="16">
        <v>45498</v>
      </c>
      <c r="H48" s="16">
        <v>45499</v>
      </c>
      <c r="I48" s="14">
        <f t="shared" si="1"/>
        <v>2</v>
      </c>
      <c r="J48" s="15">
        <v>0</v>
      </c>
      <c r="K48" s="15">
        <v>0</v>
      </c>
      <c r="L48" s="15">
        <v>0</v>
      </c>
      <c r="M48" s="15">
        <v>1</v>
      </c>
      <c r="N48" s="15">
        <v>0</v>
      </c>
      <c r="O48" s="15">
        <v>0</v>
      </c>
      <c r="P48" s="15">
        <v>0</v>
      </c>
      <c r="Q48" s="15">
        <v>1</v>
      </c>
    </row>
    <row r="49" spans="2:17" ht="45" x14ac:dyDescent="0.3">
      <c r="B49" s="11">
        <f t="shared" si="2"/>
        <v>43</v>
      </c>
      <c r="C49" s="12" t="s">
        <v>97</v>
      </c>
      <c r="D49" s="12" t="s">
        <v>85</v>
      </c>
      <c r="E49" s="12" t="s">
        <v>321</v>
      </c>
      <c r="F49" s="12" t="s">
        <v>64</v>
      </c>
      <c r="G49" s="16">
        <v>45481</v>
      </c>
      <c r="H49" s="16">
        <v>45485</v>
      </c>
      <c r="I49" s="14">
        <f t="shared" si="1"/>
        <v>5</v>
      </c>
      <c r="J49" s="15">
        <v>0</v>
      </c>
      <c r="K49" s="15">
        <v>0</v>
      </c>
      <c r="L49" s="15">
        <v>6</v>
      </c>
      <c r="M49" s="15">
        <v>0</v>
      </c>
      <c r="N49" s="15">
        <v>0</v>
      </c>
      <c r="O49" s="15">
        <v>0</v>
      </c>
      <c r="P49" s="15">
        <v>0</v>
      </c>
      <c r="Q49" s="15">
        <v>6</v>
      </c>
    </row>
    <row r="50" spans="2:17" ht="30" x14ac:dyDescent="0.3">
      <c r="B50" s="11">
        <f t="shared" si="2"/>
        <v>44</v>
      </c>
      <c r="C50" s="12" t="s">
        <v>91</v>
      </c>
      <c r="D50" s="12" t="s">
        <v>19</v>
      </c>
      <c r="E50" s="12" t="s">
        <v>321</v>
      </c>
      <c r="F50" s="12" t="s">
        <v>29</v>
      </c>
      <c r="G50" s="16">
        <v>45509</v>
      </c>
      <c r="H50" s="16">
        <v>45513</v>
      </c>
      <c r="I50" s="14">
        <f t="shared" si="1"/>
        <v>5</v>
      </c>
      <c r="J50" s="15">
        <v>1</v>
      </c>
      <c r="K50" s="15">
        <v>1</v>
      </c>
      <c r="L50" s="15">
        <v>1</v>
      </c>
      <c r="M50" s="15">
        <v>1</v>
      </c>
      <c r="N50" s="15">
        <v>0</v>
      </c>
      <c r="O50" s="15">
        <v>0</v>
      </c>
      <c r="P50" s="15">
        <v>1</v>
      </c>
      <c r="Q50" s="15">
        <v>5</v>
      </c>
    </row>
    <row r="51" spans="2:17" ht="34.5" customHeight="1" x14ac:dyDescent="0.3">
      <c r="B51" s="11">
        <f t="shared" si="2"/>
        <v>45</v>
      </c>
      <c r="C51" s="12" t="s">
        <v>98</v>
      </c>
      <c r="D51" s="12" t="s">
        <v>38</v>
      </c>
      <c r="E51" s="12" t="s">
        <v>321</v>
      </c>
      <c r="F51" s="12" t="s">
        <v>23</v>
      </c>
      <c r="G51" s="16">
        <v>45476</v>
      </c>
      <c r="H51" s="16">
        <v>45477</v>
      </c>
      <c r="I51" s="14">
        <f t="shared" si="1"/>
        <v>2</v>
      </c>
      <c r="J51" s="15">
        <v>0</v>
      </c>
      <c r="K51" s="15">
        <v>0</v>
      </c>
      <c r="L51" s="15">
        <v>9</v>
      </c>
      <c r="M51" s="15">
        <v>0</v>
      </c>
      <c r="N51" s="15">
        <v>0</v>
      </c>
      <c r="O51" s="15">
        <v>0</v>
      </c>
      <c r="P51" s="15">
        <v>0</v>
      </c>
      <c r="Q51" s="15">
        <v>9</v>
      </c>
    </row>
    <row r="52" spans="2:17" ht="60" x14ac:dyDescent="0.3">
      <c r="B52" s="11">
        <f t="shared" si="2"/>
        <v>46</v>
      </c>
      <c r="C52" s="12" t="s">
        <v>99</v>
      </c>
      <c r="D52" s="12" t="s">
        <v>100</v>
      </c>
      <c r="E52" s="12" t="s">
        <v>51</v>
      </c>
      <c r="F52" s="12" t="s">
        <v>101</v>
      </c>
      <c r="G52" s="16">
        <v>45498</v>
      </c>
      <c r="H52" s="16">
        <v>45499</v>
      </c>
      <c r="I52" s="14">
        <f t="shared" si="1"/>
        <v>2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</row>
    <row r="53" spans="2:17" ht="60" x14ac:dyDescent="0.3">
      <c r="B53" s="11">
        <f t="shared" si="2"/>
        <v>47</v>
      </c>
      <c r="C53" s="12" t="s">
        <v>102</v>
      </c>
      <c r="D53" s="12" t="s">
        <v>32</v>
      </c>
      <c r="E53" s="12" t="s">
        <v>321</v>
      </c>
      <c r="F53" s="12" t="s">
        <v>79</v>
      </c>
      <c r="G53" s="16">
        <v>45478</v>
      </c>
      <c r="H53" s="16">
        <v>45478</v>
      </c>
      <c r="I53" s="14">
        <f t="shared" si="1"/>
        <v>1</v>
      </c>
      <c r="J53" s="15">
        <v>3</v>
      </c>
      <c r="K53" s="15">
        <v>1</v>
      </c>
      <c r="L53" s="15">
        <v>0</v>
      </c>
      <c r="M53" s="15">
        <v>0</v>
      </c>
      <c r="N53" s="15">
        <v>1</v>
      </c>
      <c r="O53" s="15">
        <v>0</v>
      </c>
      <c r="P53" s="15">
        <v>0</v>
      </c>
      <c r="Q53" s="15">
        <v>5</v>
      </c>
    </row>
    <row r="54" spans="2:17" ht="90" x14ac:dyDescent="0.3">
      <c r="B54" s="11">
        <f t="shared" si="2"/>
        <v>48</v>
      </c>
      <c r="C54" s="12" t="s">
        <v>103</v>
      </c>
      <c r="D54" s="12" t="s">
        <v>104</v>
      </c>
      <c r="E54" s="12" t="s">
        <v>321</v>
      </c>
      <c r="F54" s="12" t="s">
        <v>105</v>
      </c>
      <c r="G54" s="16">
        <v>45484</v>
      </c>
      <c r="H54" s="16">
        <v>45485</v>
      </c>
      <c r="I54" s="14">
        <f t="shared" si="1"/>
        <v>2</v>
      </c>
      <c r="J54" s="15">
        <v>0</v>
      </c>
      <c r="K54" s="15">
        <v>0</v>
      </c>
      <c r="L54" s="15">
        <v>0</v>
      </c>
      <c r="M54" s="15">
        <v>0</v>
      </c>
      <c r="N54" s="15">
        <v>2</v>
      </c>
      <c r="O54" s="15">
        <v>0</v>
      </c>
      <c r="P54" s="15">
        <v>0</v>
      </c>
      <c r="Q54" s="15">
        <v>2</v>
      </c>
    </row>
    <row r="55" spans="2:17" ht="45" x14ac:dyDescent="0.3">
      <c r="B55" s="11">
        <f t="shared" si="2"/>
        <v>49</v>
      </c>
      <c r="C55" s="12" t="s">
        <v>106</v>
      </c>
      <c r="D55" s="12" t="s">
        <v>22</v>
      </c>
      <c r="E55" s="12" t="s">
        <v>321</v>
      </c>
      <c r="F55" s="12" t="s">
        <v>107</v>
      </c>
      <c r="G55" s="16">
        <v>45497</v>
      </c>
      <c r="H55" s="16">
        <v>45499</v>
      </c>
      <c r="I55" s="14">
        <f t="shared" si="1"/>
        <v>3</v>
      </c>
      <c r="J55" s="15">
        <v>0</v>
      </c>
      <c r="K55" s="15">
        <v>0</v>
      </c>
      <c r="L55" s="15">
        <v>0</v>
      </c>
      <c r="M55" s="15">
        <v>0</v>
      </c>
      <c r="N55" s="15">
        <v>2</v>
      </c>
      <c r="O55" s="15">
        <v>0</v>
      </c>
      <c r="P55" s="15">
        <v>0</v>
      </c>
      <c r="Q55" s="15">
        <v>2</v>
      </c>
    </row>
    <row r="56" spans="2:17" ht="45" x14ac:dyDescent="0.3">
      <c r="B56" s="11">
        <f t="shared" si="2"/>
        <v>50</v>
      </c>
      <c r="C56" s="12" t="s">
        <v>108</v>
      </c>
      <c r="D56" s="12" t="s">
        <v>22</v>
      </c>
      <c r="E56" s="12" t="s">
        <v>321</v>
      </c>
      <c r="F56" s="12" t="s">
        <v>24</v>
      </c>
      <c r="G56" s="16">
        <v>45483</v>
      </c>
      <c r="H56" s="16">
        <v>45485</v>
      </c>
      <c r="I56" s="14">
        <f t="shared" si="1"/>
        <v>3</v>
      </c>
      <c r="J56" s="15">
        <v>0</v>
      </c>
      <c r="K56" s="15">
        <v>0</v>
      </c>
      <c r="L56" s="15">
        <v>10</v>
      </c>
      <c r="M56" s="15">
        <v>0</v>
      </c>
      <c r="N56" s="15">
        <v>0</v>
      </c>
      <c r="O56" s="15">
        <v>0</v>
      </c>
      <c r="P56" s="15">
        <v>0</v>
      </c>
      <c r="Q56" s="15">
        <v>10</v>
      </c>
    </row>
    <row r="57" spans="2:17" ht="45" x14ac:dyDescent="0.3">
      <c r="B57" s="11">
        <f t="shared" si="2"/>
        <v>51</v>
      </c>
      <c r="C57" s="12" t="s">
        <v>109</v>
      </c>
      <c r="D57" s="12" t="s">
        <v>110</v>
      </c>
      <c r="E57" s="12" t="s">
        <v>321</v>
      </c>
      <c r="F57" s="12" t="s">
        <v>24</v>
      </c>
      <c r="G57" s="16">
        <v>45484</v>
      </c>
      <c r="H57" s="16">
        <v>45485</v>
      </c>
      <c r="I57" s="14">
        <f t="shared" si="1"/>
        <v>2</v>
      </c>
      <c r="J57" s="15">
        <v>0</v>
      </c>
      <c r="K57" s="15">
        <v>0</v>
      </c>
      <c r="L57" s="15">
        <v>10</v>
      </c>
      <c r="M57" s="15">
        <v>0</v>
      </c>
      <c r="N57" s="15">
        <v>0</v>
      </c>
      <c r="O57" s="15">
        <v>0</v>
      </c>
      <c r="P57" s="15">
        <v>0</v>
      </c>
      <c r="Q57" s="15">
        <v>10</v>
      </c>
    </row>
    <row r="58" spans="2:17" ht="45" x14ac:dyDescent="0.3">
      <c r="B58" s="11">
        <f t="shared" si="2"/>
        <v>52</v>
      </c>
      <c r="C58" s="12" t="s">
        <v>111</v>
      </c>
      <c r="D58" s="12" t="s">
        <v>112</v>
      </c>
      <c r="E58" s="12" t="s">
        <v>321</v>
      </c>
      <c r="F58" s="12" t="s">
        <v>113</v>
      </c>
      <c r="G58" s="16">
        <v>45526</v>
      </c>
      <c r="H58" s="16">
        <v>45528</v>
      </c>
      <c r="I58" s="14">
        <f t="shared" si="1"/>
        <v>3</v>
      </c>
      <c r="J58" s="15">
        <v>0</v>
      </c>
      <c r="K58" s="15">
        <v>0</v>
      </c>
      <c r="L58" s="15">
        <v>0</v>
      </c>
      <c r="M58" s="15">
        <v>1</v>
      </c>
      <c r="N58" s="15">
        <v>2</v>
      </c>
      <c r="O58" s="15">
        <v>0</v>
      </c>
      <c r="P58" s="15">
        <v>0</v>
      </c>
      <c r="Q58" s="15">
        <v>3</v>
      </c>
    </row>
    <row r="59" spans="2:17" ht="60" x14ac:dyDescent="0.3">
      <c r="B59" s="11">
        <f t="shared" si="2"/>
        <v>53</v>
      </c>
      <c r="C59" s="12" t="s">
        <v>114</v>
      </c>
      <c r="D59" s="12" t="s">
        <v>115</v>
      </c>
      <c r="E59" s="12" t="s">
        <v>321</v>
      </c>
      <c r="F59" s="12" t="s">
        <v>24</v>
      </c>
      <c r="G59" s="16">
        <v>45488</v>
      </c>
      <c r="H59" s="16">
        <v>45527</v>
      </c>
      <c r="I59" s="14">
        <f t="shared" si="1"/>
        <v>40</v>
      </c>
      <c r="J59" s="15">
        <v>0</v>
      </c>
      <c r="K59" s="15">
        <v>4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4</v>
      </c>
    </row>
    <row r="60" spans="2:17" ht="15" x14ac:dyDescent="0.3">
      <c r="B60" s="11">
        <f t="shared" si="2"/>
        <v>54</v>
      </c>
      <c r="C60" s="12" t="s">
        <v>116</v>
      </c>
      <c r="D60" s="12" t="s">
        <v>117</v>
      </c>
      <c r="E60" s="12" t="s">
        <v>321</v>
      </c>
      <c r="F60" s="12" t="s">
        <v>118</v>
      </c>
      <c r="G60" s="16">
        <v>45491</v>
      </c>
      <c r="H60" s="16">
        <v>45493</v>
      </c>
      <c r="I60" s="14">
        <f t="shared" si="1"/>
        <v>3</v>
      </c>
      <c r="J60" s="15">
        <v>0</v>
      </c>
      <c r="K60" s="15">
        <v>0</v>
      </c>
      <c r="L60" s="15">
        <v>0</v>
      </c>
      <c r="M60" s="15">
        <v>3</v>
      </c>
      <c r="N60" s="15">
        <v>0</v>
      </c>
      <c r="O60" s="15">
        <v>0</v>
      </c>
      <c r="P60" s="15">
        <v>0</v>
      </c>
      <c r="Q60" s="15">
        <v>3</v>
      </c>
    </row>
    <row r="61" spans="2:17" ht="15" x14ac:dyDescent="0.3">
      <c r="B61" s="11">
        <f t="shared" si="2"/>
        <v>55</v>
      </c>
      <c r="C61" s="12" t="s">
        <v>119</v>
      </c>
      <c r="D61" s="12" t="s">
        <v>120</v>
      </c>
      <c r="E61" s="12" t="s">
        <v>321</v>
      </c>
      <c r="F61" s="12" t="s">
        <v>23</v>
      </c>
      <c r="G61" s="16">
        <v>45497</v>
      </c>
      <c r="H61" s="16">
        <v>45498</v>
      </c>
      <c r="I61" s="14">
        <f t="shared" si="1"/>
        <v>2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</row>
    <row r="62" spans="2:17" ht="30" x14ac:dyDescent="0.3">
      <c r="B62" s="11">
        <f t="shared" si="2"/>
        <v>56</v>
      </c>
      <c r="C62" s="12" t="s">
        <v>121</v>
      </c>
      <c r="D62" s="12" t="s">
        <v>19</v>
      </c>
      <c r="E62" s="12" t="s">
        <v>321</v>
      </c>
      <c r="F62" s="12" t="s">
        <v>61</v>
      </c>
      <c r="G62" s="16">
        <v>45488</v>
      </c>
      <c r="H62" s="16">
        <v>45493</v>
      </c>
      <c r="I62" s="14">
        <f t="shared" si="1"/>
        <v>6</v>
      </c>
      <c r="J62" s="15">
        <v>0</v>
      </c>
      <c r="K62" s="15">
        <v>0</v>
      </c>
      <c r="L62" s="15">
        <v>0</v>
      </c>
      <c r="M62" s="15">
        <v>0</v>
      </c>
      <c r="N62" s="15">
        <v>2</v>
      </c>
      <c r="O62" s="15">
        <v>0</v>
      </c>
      <c r="P62" s="15">
        <v>0</v>
      </c>
      <c r="Q62" s="15">
        <v>2</v>
      </c>
    </row>
    <row r="63" spans="2:17" ht="15" x14ac:dyDescent="0.3">
      <c r="B63" s="11">
        <f t="shared" si="2"/>
        <v>57</v>
      </c>
      <c r="C63" s="12" t="s">
        <v>122</v>
      </c>
      <c r="D63" s="12" t="s">
        <v>123</v>
      </c>
      <c r="E63" s="12" t="s">
        <v>321</v>
      </c>
      <c r="F63" s="12" t="s">
        <v>118</v>
      </c>
      <c r="G63" s="16">
        <v>45491</v>
      </c>
      <c r="H63" s="16">
        <v>45493</v>
      </c>
      <c r="I63" s="14">
        <f t="shared" si="1"/>
        <v>3</v>
      </c>
      <c r="J63" s="15">
        <v>0</v>
      </c>
      <c r="K63" s="15">
        <v>0</v>
      </c>
      <c r="L63" s="15">
        <v>6</v>
      </c>
      <c r="M63" s="15">
        <v>0</v>
      </c>
      <c r="N63" s="15">
        <v>0</v>
      </c>
      <c r="O63" s="15">
        <v>0</v>
      </c>
      <c r="P63" s="15">
        <v>0</v>
      </c>
      <c r="Q63" s="15">
        <v>6</v>
      </c>
    </row>
    <row r="64" spans="2:17" ht="45" x14ac:dyDescent="0.3">
      <c r="B64" s="11">
        <f t="shared" si="2"/>
        <v>58</v>
      </c>
      <c r="C64" s="12" t="s">
        <v>124</v>
      </c>
      <c r="D64" s="12" t="s">
        <v>22</v>
      </c>
      <c r="E64" s="12" t="s">
        <v>321</v>
      </c>
      <c r="F64" s="12" t="s">
        <v>107</v>
      </c>
      <c r="G64" s="16">
        <v>45498</v>
      </c>
      <c r="H64" s="16">
        <v>45499</v>
      </c>
      <c r="I64" s="14">
        <f t="shared" si="1"/>
        <v>2</v>
      </c>
      <c r="J64" s="15">
        <v>0</v>
      </c>
      <c r="K64" s="15">
        <v>4</v>
      </c>
      <c r="L64" s="15">
        <v>7</v>
      </c>
      <c r="M64" s="15">
        <v>0</v>
      </c>
      <c r="N64" s="15">
        <v>0</v>
      </c>
      <c r="O64" s="15">
        <v>0</v>
      </c>
      <c r="P64" s="15">
        <v>0</v>
      </c>
      <c r="Q64" s="15">
        <v>11</v>
      </c>
    </row>
    <row r="65" spans="2:17" ht="45" x14ac:dyDescent="0.3">
      <c r="B65" s="11">
        <f t="shared" si="2"/>
        <v>59</v>
      </c>
      <c r="C65" s="12" t="s">
        <v>125</v>
      </c>
      <c r="D65" s="12" t="s">
        <v>22</v>
      </c>
      <c r="E65" s="12" t="s">
        <v>321</v>
      </c>
      <c r="F65" s="12" t="s">
        <v>23</v>
      </c>
      <c r="G65" s="16">
        <v>45498</v>
      </c>
      <c r="H65" s="16">
        <v>45499</v>
      </c>
      <c r="I65" s="14">
        <f t="shared" si="1"/>
        <v>2</v>
      </c>
      <c r="J65" s="15">
        <v>2</v>
      </c>
      <c r="K65" s="15">
        <v>0</v>
      </c>
      <c r="L65" s="15">
        <v>4</v>
      </c>
      <c r="M65" s="15">
        <v>0</v>
      </c>
      <c r="N65" s="15">
        <v>0</v>
      </c>
      <c r="O65" s="15">
        <v>0</v>
      </c>
      <c r="P65" s="15">
        <v>0</v>
      </c>
      <c r="Q65" s="15">
        <v>6</v>
      </c>
    </row>
    <row r="66" spans="2:17" ht="60" x14ac:dyDescent="0.3">
      <c r="B66" s="11">
        <f t="shared" si="2"/>
        <v>60</v>
      </c>
      <c r="C66" s="12" t="s">
        <v>126</v>
      </c>
      <c r="D66" s="12" t="s">
        <v>127</v>
      </c>
      <c r="E66" s="12" t="s">
        <v>321</v>
      </c>
      <c r="F66" s="12" t="s">
        <v>128</v>
      </c>
      <c r="G66" s="16">
        <v>45502</v>
      </c>
      <c r="H66" s="16">
        <v>45503</v>
      </c>
      <c r="I66" s="14">
        <f t="shared" si="1"/>
        <v>2</v>
      </c>
      <c r="J66" s="15">
        <v>0</v>
      </c>
      <c r="K66" s="15">
        <v>3</v>
      </c>
      <c r="L66" s="15">
        <v>5</v>
      </c>
      <c r="M66" s="15">
        <v>4</v>
      </c>
      <c r="N66" s="15">
        <v>5</v>
      </c>
      <c r="O66" s="15">
        <v>5</v>
      </c>
      <c r="P66" s="15">
        <v>5</v>
      </c>
      <c r="Q66" s="15">
        <v>27</v>
      </c>
    </row>
    <row r="67" spans="2:17" ht="15" x14ac:dyDescent="0.3">
      <c r="B67" s="11">
        <f t="shared" si="2"/>
        <v>61</v>
      </c>
      <c r="C67" s="12" t="s">
        <v>116</v>
      </c>
      <c r="D67" s="12" t="s">
        <v>117</v>
      </c>
      <c r="E67" s="12" t="s">
        <v>321</v>
      </c>
      <c r="F67" s="12" t="s">
        <v>118</v>
      </c>
      <c r="G67" s="16">
        <v>45502</v>
      </c>
      <c r="H67" s="16">
        <v>45504</v>
      </c>
      <c r="I67" s="14">
        <f t="shared" si="1"/>
        <v>3</v>
      </c>
      <c r="J67" s="15">
        <v>0</v>
      </c>
      <c r="K67" s="15">
        <v>0</v>
      </c>
      <c r="L67" s="15">
        <v>7</v>
      </c>
      <c r="M67" s="15">
        <v>0</v>
      </c>
      <c r="N67" s="15">
        <v>0</v>
      </c>
      <c r="O67" s="15">
        <v>2</v>
      </c>
      <c r="P67" s="15">
        <v>0</v>
      </c>
      <c r="Q67" s="15">
        <v>9</v>
      </c>
    </row>
    <row r="68" spans="2:17" ht="30" x14ac:dyDescent="0.3">
      <c r="B68" s="11">
        <f t="shared" si="2"/>
        <v>62</v>
      </c>
      <c r="C68" s="17" t="s">
        <v>129</v>
      </c>
      <c r="D68" s="17" t="s">
        <v>47</v>
      </c>
      <c r="E68" s="14" t="s">
        <v>321</v>
      </c>
      <c r="F68" s="14" t="s">
        <v>23</v>
      </c>
      <c r="G68" s="19">
        <v>45497</v>
      </c>
      <c r="H68" s="19">
        <v>45499</v>
      </c>
      <c r="I68" s="14">
        <f t="shared" si="1"/>
        <v>3</v>
      </c>
      <c r="J68" s="15">
        <v>0</v>
      </c>
      <c r="K68" s="15">
        <v>0</v>
      </c>
      <c r="L68" s="15">
        <v>0</v>
      </c>
      <c r="M68" s="15">
        <v>0</v>
      </c>
      <c r="N68" s="15">
        <v>31</v>
      </c>
      <c r="O68" s="15">
        <v>0</v>
      </c>
      <c r="P68" s="15">
        <v>0</v>
      </c>
      <c r="Q68" s="15">
        <v>31</v>
      </c>
    </row>
    <row r="69" spans="2:17" ht="30" x14ac:dyDescent="0.3">
      <c r="B69" s="11">
        <f t="shared" si="2"/>
        <v>63</v>
      </c>
      <c r="C69" s="14" t="s">
        <v>130</v>
      </c>
      <c r="D69" s="14" t="s">
        <v>46</v>
      </c>
      <c r="E69" s="14" t="s">
        <v>321</v>
      </c>
      <c r="F69" s="14" t="s">
        <v>23</v>
      </c>
      <c r="G69" s="19">
        <v>45502</v>
      </c>
      <c r="H69" s="19">
        <v>45504</v>
      </c>
      <c r="I69" s="14">
        <f t="shared" si="1"/>
        <v>3</v>
      </c>
      <c r="J69" s="15">
        <v>0</v>
      </c>
      <c r="K69" s="15">
        <v>0</v>
      </c>
      <c r="L69" s="15">
        <v>0</v>
      </c>
      <c r="M69" s="15">
        <v>0</v>
      </c>
      <c r="N69" s="15">
        <v>34</v>
      </c>
      <c r="O69" s="15">
        <v>0</v>
      </c>
      <c r="P69" s="15">
        <v>0</v>
      </c>
      <c r="Q69" s="15">
        <v>34</v>
      </c>
    </row>
    <row r="70" spans="2:17" ht="30" x14ac:dyDescent="0.3">
      <c r="B70" s="11">
        <f t="shared" si="2"/>
        <v>64</v>
      </c>
      <c r="C70" s="14" t="s">
        <v>130</v>
      </c>
      <c r="D70" s="14" t="s">
        <v>46</v>
      </c>
      <c r="E70" s="14" t="s">
        <v>321</v>
      </c>
      <c r="F70" s="14" t="s">
        <v>23</v>
      </c>
      <c r="G70" s="19">
        <v>45509</v>
      </c>
      <c r="H70" s="19">
        <v>45511</v>
      </c>
      <c r="I70" s="14">
        <f t="shared" si="1"/>
        <v>3</v>
      </c>
      <c r="J70" s="15">
        <v>0</v>
      </c>
      <c r="K70" s="15">
        <v>0</v>
      </c>
      <c r="L70" s="15">
        <v>0</v>
      </c>
      <c r="M70" s="15">
        <v>0</v>
      </c>
      <c r="N70" s="15">
        <v>34</v>
      </c>
      <c r="O70" s="15">
        <v>0</v>
      </c>
      <c r="P70" s="15">
        <v>0</v>
      </c>
      <c r="Q70" s="15">
        <v>34</v>
      </c>
    </row>
    <row r="71" spans="2:17" ht="32.25" customHeight="1" x14ac:dyDescent="0.3">
      <c r="B71" s="11">
        <f t="shared" si="2"/>
        <v>65</v>
      </c>
      <c r="C71" s="17" t="s">
        <v>131</v>
      </c>
      <c r="D71" s="14" t="s">
        <v>132</v>
      </c>
      <c r="E71" s="14" t="s">
        <v>321</v>
      </c>
      <c r="F71" s="14" t="s">
        <v>20</v>
      </c>
      <c r="G71" s="19">
        <v>45481</v>
      </c>
      <c r="H71" s="19">
        <v>45485</v>
      </c>
      <c r="I71" s="14">
        <f t="shared" si="1"/>
        <v>5</v>
      </c>
      <c r="J71" s="15">
        <v>0</v>
      </c>
      <c r="K71" s="15">
        <v>0</v>
      </c>
      <c r="L71" s="15">
        <v>0</v>
      </c>
      <c r="M71" s="15">
        <v>2</v>
      </c>
      <c r="N71" s="15">
        <v>0</v>
      </c>
      <c r="O71" s="15">
        <v>0</v>
      </c>
      <c r="P71" s="15">
        <v>0</v>
      </c>
      <c r="Q71" s="15">
        <v>2</v>
      </c>
    </row>
    <row r="72" spans="2:17" ht="30" x14ac:dyDescent="0.3">
      <c r="B72" s="11">
        <f t="shared" si="2"/>
        <v>66</v>
      </c>
      <c r="C72" s="17" t="s">
        <v>133</v>
      </c>
      <c r="D72" s="14" t="s">
        <v>132</v>
      </c>
      <c r="E72" s="14" t="s">
        <v>321</v>
      </c>
      <c r="F72" s="14" t="s">
        <v>134</v>
      </c>
      <c r="G72" s="19">
        <v>45509</v>
      </c>
      <c r="H72" s="19">
        <v>45511</v>
      </c>
      <c r="I72" s="14">
        <f t="shared" si="1"/>
        <v>3</v>
      </c>
      <c r="J72" s="15">
        <v>0</v>
      </c>
      <c r="K72" s="15">
        <v>0</v>
      </c>
      <c r="L72" s="15">
        <v>0</v>
      </c>
      <c r="M72" s="15">
        <v>1</v>
      </c>
      <c r="N72" s="15">
        <v>0</v>
      </c>
      <c r="O72" s="15">
        <v>0</v>
      </c>
      <c r="P72" s="15">
        <v>0</v>
      </c>
      <c r="Q72" s="15">
        <v>1</v>
      </c>
    </row>
    <row r="73" spans="2:17" ht="30" x14ac:dyDescent="0.3">
      <c r="B73" s="11">
        <f t="shared" ref="B73:B136" si="3">IF(C73="","",B72+1)</f>
        <v>67</v>
      </c>
      <c r="C73" s="17" t="s">
        <v>135</v>
      </c>
      <c r="D73" s="14" t="s">
        <v>132</v>
      </c>
      <c r="E73" s="14" t="s">
        <v>321</v>
      </c>
      <c r="F73" s="14" t="s">
        <v>29</v>
      </c>
      <c r="G73" s="19">
        <v>45523</v>
      </c>
      <c r="H73" s="19">
        <v>45524</v>
      </c>
      <c r="I73" s="14">
        <f t="shared" si="1"/>
        <v>2</v>
      </c>
      <c r="J73" s="15">
        <v>0</v>
      </c>
      <c r="K73" s="15">
        <v>0</v>
      </c>
      <c r="L73" s="15">
        <v>0</v>
      </c>
      <c r="M73" s="15">
        <v>1</v>
      </c>
      <c r="N73" s="15">
        <v>0</v>
      </c>
      <c r="O73" s="15">
        <v>0</v>
      </c>
      <c r="P73" s="15">
        <v>0</v>
      </c>
      <c r="Q73" s="15">
        <v>1</v>
      </c>
    </row>
    <row r="74" spans="2:17" ht="45" x14ac:dyDescent="0.3">
      <c r="B74" s="11">
        <f t="shared" si="3"/>
        <v>68</v>
      </c>
      <c r="C74" s="17" t="s">
        <v>136</v>
      </c>
      <c r="D74" s="14" t="s">
        <v>132</v>
      </c>
      <c r="E74" s="14" t="s">
        <v>321</v>
      </c>
      <c r="F74" s="14" t="s">
        <v>23</v>
      </c>
      <c r="G74" s="16">
        <v>45531</v>
      </c>
      <c r="H74" s="16">
        <v>45535</v>
      </c>
      <c r="I74" s="14">
        <f t="shared" ref="I74:I137" si="4">IF(G74="","",H74-G74+1)</f>
        <v>5</v>
      </c>
      <c r="J74" s="15">
        <v>0</v>
      </c>
      <c r="K74" s="15">
        <v>0</v>
      </c>
      <c r="L74" s="15">
        <v>0</v>
      </c>
      <c r="M74" s="15">
        <v>2</v>
      </c>
      <c r="N74" s="15">
        <v>0</v>
      </c>
      <c r="O74" s="15">
        <v>0</v>
      </c>
      <c r="P74" s="15">
        <v>0</v>
      </c>
      <c r="Q74" s="15">
        <v>2</v>
      </c>
    </row>
    <row r="75" spans="2:17" ht="15" x14ac:dyDescent="0.25">
      <c r="B75" s="11">
        <f t="shared" si="3"/>
        <v>69</v>
      </c>
      <c r="C75" s="22" t="s">
        <v>137</v>
      </c>
      <c r="D75" s="14" t="s">
        <v>138</v>
      </c>
      <c r="E75" s="14" t="s">
        <v>321</v>
      </c>
      <c r="F75" s="12" t="s">
        <v>139</v>
      </c>
      <c r="G75" s="16">
        <v>45481</v>
      </c>
      <c r="H75" s="16">
        <v>45485</v>
      </c>
      <c r="I75" s="14">
        <f t="shared" si="4"/>
        <v>5</v>
      </c>
      <c r="J75" s="15">
        <v>5</v>
      </c>
      <c r="K75" s="15">
        <v>4</v>
      </c>
      <c r="L75" s="15">
        <v>4</v>
      </c>
      <c r="M75" s="15">
        <v>5</v>
      </c>
      <c r="N75" s="15">
        <v>4</v>
      </c>
      <c r="O75" s="15">
        <v>4</v>
      </c>
      <c r="P75" s="15">
        <v>5</v>
      </c>
      <c r="Q75" s="15">
        <v>31</v>
      </c>
    </row>
    <row r="76" spans="2:17" ht="45" x14ac:dyDescent="0.3">
      <c r="B76" s="11">
        <f t="shared" si="3"/>
        <v>70</v>
      </c>
      <c r="C76" s="12" t="s">
        <v>140</v>
      </c>
      <c r="D76" s="12" t="s">
        <v>141</v>
      </c>
      <c r="E76" s="12" t="s">
        <v>51</v>
      </c>
      <c r="F76" s="12" t="s">
        <v>68</v>
      </c>
      <c r="G76" s="16">
        <v>45474</v>
      </c>
      <c r="H76" s="16">
        <v>45565</v>
      </c>
      <c r="I76" s="14">
        <f t="shared" si="4"/>
        <v>92</v>
      </c>
      <c r="J76" s="15">
        <v>0</v>
      </c>
      <c r="K76" s="15">
        <v>0</v>
      </c>
      <c r="L76" s="15">
        <v>1</v>
      </c>
      <c r="M76" s="15">
        <v>0</v>
      </c>
      <c r="N76" s="15">
        <v>0</v>
      </c>
      <c r="O76" s="15">
        <v>0</v>
      </c>
      <c r="P76" s="15">
        <v>0</v>
      </c>
      <c r="Q76" s="15">
        <v>1</v>
      </c>
    </row>
    <row r="77" spans="2:17" ht="30" x14ac:dyDescent="0.3">
      <c r="B77" s="11">
        <f t="shared" si="3"/>
        <v>71</v>
      </c>
      <c r="C77" s="12" t="s">
        <v>142</v>
      </c>
      <c r="D77" s="12" t="s">
        <v>143</v>
      </c>
      <c r="E77" s="12" t="s">
        <v>321</v>
      </c>
      <c r="F77" s="12" t="s">
        <v>79</v>
      </c>
      <c r="G77" s="16">
        <v>45532</v>
      </c>
      <c r="H77" s="16">
        <v>45534</v>
      </c>
      <c r="I77" s="14">
        <f t="shared" si="4"/>
        <v>3</v>
      </c>
      <c r="J77" s="15">
        <v>0</v>
      </c>
      <c r="K77" s="15">
        <v>0</v>
      </c>
      <c r="L77" s="15">
        <v>0</v>
      </c>
      <c r="M77" s="15">
        <v>3</v>
      </c>
      <c r="N77" s="15">
        <v>0</v>
      </c>
      <c r="O77" s="15">
        <v>0</v>
      </c>
      <c r="P77" s="15">
        <v>0</v>
      </c>
      <c r="Q77" s="15">
        <v>3</v>
      </c>
    </row>
    <row r="78" spans="2:17" ht="75" x14ac:dyDescent="0.3">
      <c r="B78" s="11">
        <f t="shared" si="3"/>
        <v>72</v>
      </c>
      <c r="C78" s="12" t="s">
        <v>144</v>
      </c>
      <c r="D78" s="12" t="s">
        <v>70</v>
      </c>
      <c r="E78" s="12" t="s">
        <v>321</v>
      </c>
      <c r="F78" s="12" t="s">
        <v>23</v>
      </c>
      <c r="G78" s="16">
        <v>45533</v>
      </c>
      <c r="H78" s="16">
        <v>45534</v>
      </c>
      <c r="I78" s="14">
        <f t="shared" si="4"/>
        <v>2</v>
      </c>
      <c r="J78" s="15">
        <v>0</v>
      </c>
      <c r="K78" s="15">
        <v>1</v>
      </c>
      <c r="L78" s="15">
        <v>0</v>
      </c>
      <c r="M78" s="15">
        <v>2</v>
      </c>
      <c r="N78" s="15">
        <v>4</v>
      </c>
      <c r="O78" s="15">
        <v>0</v>
      </c>
      <c r="P78" s="15">
        <v>0</v>
      </c>
      <c r="Q78" s="15">
        <v>7</v>
      </c>
    </row>
    <row r="79" spans="2:17" ht="30" x14ac:dyDescent="0.3">
      <c r="B79" s="11">
        <f t="shared" si="3"/>
        <v>73</v>
      </c>
      <c r="C79" s="12" t="s">
        <v>145</v>
      </c>
      <c r="D79" s="12" t="s">
        <v>104</v>
      </c>
      <c r="E79" s="12" t="s">
        <v>321</v>
      </c>
      <c r="F79" s="12" t="s">
        <v>105</v>
      </c>
      <c r="G79" s="16">
        <v>45505</v>
      </c>
      <c r="H79" s="16">
        <v>45506</v>
      </c>
      <c r="I79" s="14">
        <f t="shared" si="4"/>
        <v>2</v>
      </c>
      <c r="J79" s="15">
        <v>0</v>
      </c>
      <c r="K79" s="15">
        <v>0</v>
      </c>
      <c r="L79" s="15">
        <v>11</v>
      </c>
      <c r="M79" s="15">
        <v>0</v>
      </c>
      <c r="N79" s="15">
        <v>0</v>
      </c>
      <c r="O79" s="15">
        <v>0</v>
      </c>
      <c r="P79" s="15">
        <v>0</v>
      </c>
      <c r="Q79" s="15">
        <v>11</v>
      </c>
    </row>
    <row r="80" spans="2:17" ht="30" x14ac:dyDescent="0.3">
      <c r="B80" s="11">
        <f t="shared" si="3"/>
        <v>74</v>
      </c>
      <c r="C80" s="12" t="s">
        <v>146</v>
      </c>
      <c r="D80" s="12" t="s">
        <v>147</v>
      </c>
      <c r="E80" s="12" t="s">
        <v>321</v>
      </c>
      <c r="F80" s="12" t="s">
        <v>79</v>
      </c>
      <c r="G80" s="16">
        <v>45524</v>
      </c>
      <c r="H80" s="16">
        <v>45525</v>
      </c>
      <c r="I80" s="14">
        <f t="shared" si="4"/>
        <v>2</v>
      </c>
      <c r="J80" s="15">
        <v>0</v>
      </c>
      <c r="K80" s="15">
        <v>0</v>
      </c>
      <c r="L80" s="15">
        <v>0</v>
      </c>
      <c r="M80" s="15">
        <v>3</v>
      </c>
      <c r="N80" s="15">
        <v>0</v>
      </c>
      <c r="O80" s="15">
        <v>0</v>
      </c>
      <c r="P80" s="15">
        <v>0</v>
      </c>
      <c r="Q80" s="15">
        <v>3</v>
      </c>
    </row>
    <row r="81" spans="2:17" ht="30" x14ac:dyDescent="0.3">
      <c r="B81" s="11">
        <f t="shared" si="3"/>
        <v>75</v>
      </c>
      <c r="C81" s="12" t="s">
        <v>148</v>
      </c>
      <c r="D81" s="12" t="s">
        <v>149</v>
      </c>
      <c r="E81" s="12" t="s">
        <v>321</v>
      </c>
      <c r="F81" s="12" t="s">
        <v>23</v>
      </c>
      <c r="G81" s="16">
        <v>45506</v>
      </c>
      <c r="H81" s="16">
        <v>45506</v>
      </c>
      <c r="I81" s="14">
        <f t="shared" si="4"/>
        <v>1</v>
      </c>
      <c r="J81" s="15">
        <v>0</v>
      </c>
      <c r="K81" s="15">
        <v>0</v>
      </c>
      <c r="L81" s="15">
        <v>1</v>
      </c>
      <c r="M81" s="15">
        <v>0</v>
      </c>
      <c r="N81" s="15">
        <v>0</v>
      </c>
      <c r="O81" s="15">
        <v>0</v>
      </c>
      <c r="P81" s="15">
        <v>0</v>
      </c>
      <c r="Q81" s="15">
        <v>1</v>
      </c>
    </row>
    <row r="82" spans="2:17" ht="45" x14ac:dyDescent="0.3">
      <c r="B82" s="11">
        <f t="shared" si="3"/>
        <v>76</v>
      </c>
      <c r="C82" s="12" t="s">
        <v>150</v>
      </c>
      <c r="D82" s="12" t="s">
        <v>63</v>
      </c>
      <c r="E82" s="12" t="s">
        <v>321</v>
      </c>
      <c r="F82" s="12" t="s">
        <v>64</v>
      </c>
      <c r="G82" s="16">
        <v>45510</v>
      </c>
      <c r="H82" s="16">
        <v>45513</v>
      </c>
      <c r="I82" s="14">
        <f t="shared" si="4"/>
        <v>4</v>
      </c>
      <c r="J82" s="15">
        <v>0</v>
      </c>
      <c r="K82" s="15">
        <v>0</v>
      </c>
      <c r="L82" s="15">
        <v>3</v>
      </c>
      <c r="M82" s="15">
        <v>0</v>
      </c>
      <c r="N82" s="15">
        <v>5</v>
      </c>
      <c r="O82" s="15">
        <v>0</v>
      </c>
      <c r="P82" s="15">
        <v>7</v>
      </c>
      <c r="Q82" s="15">
        <v>15</v>
      </c>
    </row>
    <row r="83" spans="2:17" ht="45" x14ac:dyDescent="0.3">
      <c r="B83" s="11">
        <f t="shared" si="3"/>
        <v>77</v>
      </c>
      <c r="C83" s="12" t="s">
        <v>151</v>
      </c>
      <c r="D83" s="12" t="s">
        <v>63</v>
      </c>
      <c r="E83" s="12" t="s">
        <v>321</v>
      </c>
      <c r="F83" s="12" t="s">
        <v>64</v>
      </c>
      <c r="G83" s="16">
        <v>45510</v>
      </c>
      <c r="H83" s="16">
        <v>45513</v>
      </c>
      <c r="I83" s="14">
        <f t="shared" si="4"/>
        <v>4</v>
      </c>
      <c r="J83" s="15">
        <v>0</v>
      </c>
      <c r="K83" s="15">
        <v>0</v>
      </c>
      <c r="L83" s="15">
        <v>4</v>
      </c>
      <c r="M83" s="15">
        <v>0</v>
      </c>
      <c r="N83" s="15">
        <v>0</v>
      </c>
      <c r="O83" s="15">
        <v>0</v>
      </c>
      <c r="P83" s="15">
        <v>0</v>
      </c>
      <c r="Q83" s="15">
        <v>4</v>
      </c>
    </row>
    <row r="84" spans="2:17" ht="60" x14ac:dyDescent="0.3">
      <c r="B84" s="11">
        <f t="shared" si="3"/>
        <v>78</v>
      </c>
      <c r="C84" s="12" t="s">
        <v>152</v>
      </c>
      <c r="D84" s="12" t="s">
        <v>85</v>
      </c>
      <c r="E84" s="12" t="s">
        <v>321</v>
      </c>
      <c r="F84" s="12" t="s">
        <v>64</v>
      </c>
      <c r="G84" s="16">
        <v>45516</v>
      </c>
      <c r="H84" s="16">
        <v>45518</v>
      </c>
      <c r="I84" s="14">
        <f t="shared" si="4"/>
        <v>3</v>
      </c>
      <c r="J84" s="15">
        <v>0</v>
      </c>
      <c r="K84" s="15">
        <v>0</v>
      </c>
      <c r="L84" s="15">
        <v>5</v>
      </c>
      <c r="M84" s="15">
        <v>0</v>
      </c>
      <c r="N84" s="15">
        <v>0</v>
      </c>
      <c r="O84" s="15">
        <v>0</v>
      </c>
      <c r="P84" s="15">
        <v>0</v>
      </c>
      <c r="Q84" s="15">
        <v>5</v>
      </c>
    </row>
    <row r="85" spans="2:17" ht="45" x14ac:dyDescent="0.3">
      <c r="B85" s="11">
        <f t="shared" si="3"/>
        <v>79</v>
      </c>
      <c r="C85" s="12" t="s">
        <v>153</v>
      </c>
      <c r="D85" s="12" t="s">
        <v>85</v>
      </c>
      <c r="E85" s="12" t="s">
        <v>321</v>
      </c>
      <c r="F85" s="12" t="s">
        <v>64</v>
      </c>
      <c r="G85" s="16">
        <v>45516</v>
      </c>
      <c r="H85" s="16">
        <v>45518</v>
      </c>
      <c r="I85" s="14">
        <f t="shared" si="4"/>
        <v>3</v>
      </c>
      <c r="J85" s="15">
        <v>0</v>
      </c>
      <c r="K85" s="15">
        <v>0</v>
      </c>
      <c r="L85" s="15">
        <v>5</v>
      </c>
      <c r="M85" s="15">
        <v>0</v>
      </c>
      <c r="N85" s="15">
        <v>0</v>
      </c>
      <c r="O85" s="15">
        <v>0</v>
      </c>
      <c r="P85" s="15">
        <v>0</v>
      </c>
      <c r="Q85" s="15">
        <v>5</v>
      </c>
    </row>
    <row r="86" spans="2:17" ht="45" x14ac:dyDescent="0.3">
      <c r="B86" s="11">
        <f t="shared" si="3"/>
        <v>80</v>
      </c>
      <c r="C86" s="12" t="s">
        <v>154</v>
      </c>
      <c r="D86" s="21" t="s">
        <v>155</v>
      </c>
      <c r="E86" s="12" t="s">
        <v>321</v>
      </c>
      <c r="F86" s="12" t="s">
        <v>79</v>
      </c>
      <c r="G86" s="16">
        <v>45510</v>
      </c>
      <c r="H86" s="16">
        <v>45511</v>
      </c>
      <c r="I86" s="14">
        <f t="shared" si="4"/>
        <v>2</v>
      </c>
      <c r="J86" s="15">
        <v>0</v>
      </c>
      <c r="K86" s="15">
        <v>0</v>
      </c>
      <c r="L86" s="15">
        <v>9</v>
      </c>
      <c r="M86" s="15">
        <v>0</v>
      </c>
      <c r="N86" s="15">
        <v>0</v>
      </c>
      <c r="O86" s="15">
        <v>0</v>
      </c>
      <c r="P86" s="15">
        <v>0</v>
      </c>
      <c r="Q86" s="15">
        <v>9</v>
      </c>
    </row>
    <row r="87" spans="2:17" ht="30" x14ac:dyDescent="0.3">
      <c r="B87" s="11">
        <f t="shared" si="3"/>
        <v>81</v>
      </c>
      <c r="C87" s="12" t="s">
        <v>156</v>
      </c>
      <c r="D87" s="12" t="s">
        <v>63</v>
      </c>
      <c r="E87" s="12" t="s">
        <v>321</v>
      </c>
      <c r="F87" s="12" t="s">
        <v>64</v>
      </c>
      <c r="G87" s="16">
        <v>45525</v>
      </c>
      <c r="H87" s="16">
        <v>45528</v>
      </c>
      <c r="I87" s="14">
        <f t="shared" si="4"/>
        <v>4</v>
      </c>
      <c r="J87" s="15">
        <v>0</v>
      </c>
      <c r="K87" s="15">
        <v>0</v>
      </c>
      <c r="L87" s="15">
        <v>5</v>
      </c>
      <c r="M87" s="15">
        <v>0</v>
      </c>
      <c r="N87" s="15">
        <v>0</v>
      </c>
      <c r="O87" s="15">
        <v>0</v>
      </c>
      <c r="P87" s="15">
        <v>4</v>
      </c>
      <c r="Q87" s="15">
        <v>9</v>
      </c>
    </row>
    <row r="88" spans="2:17" ht="45" x14ac:dyDescent="0.3">
      <c r="B88" s="11">
        <f t="shared" si="3"/>
        <v>82</v>
      </c>
      <c r="C88" s="12" t="s">
        <v>157</v>
      </c>
      <c r="D88" s="12" t="s">
        <v>38</v>
      </c>
      <c r="E88" s="12" t="s">
        <v>321</v>
      </c>
      <c r="F88" s="12" t="s">
        <v>158</v>
      </c>
      <c r="G88" s="16">
        <v>45510</v>
      </c>
      <c r="H88" s="16">
        <v>45510</v>
      </c>
      <c r="I88" s="14">
        <f t="shared" si="4"/>
        <v>1</v>
      </c>
      <c r="J88" s="15">
        <v>0</v>
      </c>
      <c r="K88" s="15">
        <v>3</v>
      </c>
      <c r="L88" s="15">
        <v>0</v>
      </c>
      <c r="M88" s="15">
        <v>0</v>
      </c>
      <c r="N88" s="15">
        <v>0</v>
      </c>
      <c r="O88" s="15">
        <v>0</v>
      </c>
      <c r="P88" s="15">
        <v>1</v>
      </c>
      <c r="Q88" s="15">
        <v>4</v>
      </c>
    </row>
    <row r="89" spans="2:17" ht="45" x14ac:dyDescent="0.3">
      <c r="B89" s="11">
        <f t="shared" si="3"/>
        <v>83</v>
      </c>
      <c r="C89" s="12" t="s">
        <v>159</v>
      </c>
      <c r="D89" s="12" t="s">
        <v>85</v>
      </c>
      <c r="E89" s="12" t="s">
        <v>321</v>
      </c>
      <c r="F89" s="12" t="s">
        <v>64</v>
      </c>
      <c r="G89" s="16">
        <v>45524</v>
      </c>
      <c r="H89" s="16">
        <v>45527</v>
      </c>
      <c r="I89" s="14">
        <f t="shared" si="4"/>
        <v>4</v>
      </c>
      <c r="J89" s="15">
        <v>0</v>
      </c>
      <c r="K89" s="15">
        <v>0</v>
      </c>
      <c r="L89" s="15">
        <v>4</v>
      </c>
      <c r="M89" s="15">
        <v>0</v>
      </c>
      <c r="N89" s="15">
        <v>0</v>
      </c>
      <c r="O89" s="15">
        <v>0</v>
      </c>
      <c r="P89" s="15">
        <v>0</v>
      </c>
      <c r="Q89" s="15">
        <v>4</v>
      </c>
    </row>
    <row r="90" spans="2:17" ht="45" x14ac:dyDescent="0.3">
      <c r="B90" s="11">
        <f t="shared" si="3"/>
        <v>84</v>
      </c>
      <c r="C90" s="12" t="s">
        <v>160</v>
      </c>
      <c r="D90" s="12" t="s">
        <v>85</v>
      </c>
      <c r="E90" s="12" t="s">
        <v>51</v>
      </c>
      <c r="F90" s="12" t="s">
        <v>51</v>
      </c>
      <c r="G90" s="16">
        <v>45525</v>
      </c>
      <c r="H90" s="16">
        <v>45527</v>
      </c>
      <c r="I90" s="14">
        <f t="shared" si="4"/>
        <v>3</v>
      </c>
      <c r="J90" s="15">
        <v>0</v>
      </c>
      <c r="K90" s="15">
        <v>0</v>
      </c>
      <c r="L90" s="15">
        <v>5</v>
      </c>
      <c r="M90" s="15">
        <v>0</v>
      </c>
      <c r="N90" s="15">
        <v>0</v>
      </c>
      <c r="O90" s="15">
        <v>0</v>
      </c>
      <c r="P90" s="15">
        <v>0</v>
      </c>
      <c r="Q90" s="15">
        <v>5</v>
      </c>
    </row>
    <row r="91" spans="2:17" ht="45" x14ac:dyDescent="0.3">
      <c r="B91" s="11">
        <f t="shared" si="3"/>
        <v>85</v>
      </c>
      <c r="C91" s="12" t="s">
        <v>161</v>
      </c>
      <c r="D91" s="12" t="s">
        <v>85</v>
      </c>
      <c r="E91" s="12" t="s">
        <v>321</v>
      </c>
      <c r="F91" s="12" t="s">
        <v>64</v>
      </c>
      <c r="G91" s="16">
        <v>45531</v>
      </c>
      <c r="H91" s="16">
        <v>45534</v>
      </c>
      <c r="I91" s="14">
        <f t="shared" si="4"/>
        <v>4</v>
      </c>
      <c r="J91" s="15">
        <v>0</v>
      </c>
      <c r="K91" s="15">
        <v>0</v>
      </c>
      <c r="L91" s="15">
        <v>4</v>
      </c>
      <c r="M91" s="15">
        <v>0</v>
      </c>
      <c r="N91" s="15">
        <v>0</v>
      </c>
      <c r="O91" s="15">
        <v>0</v>
      </c>
      <c r="P91" s="15">
        <v>0</v>
      </c>
      <c r="Q91" s="15">
        <v>4</v>
      </c>
    </row>
    <row r="92" spans="2:17" ht="45" x14ac:dyDescent="0.3">
      <c r="B92" s="11">
        <f t="shared" si="3"/>
        <v>86</v>
      </c>
      <c r="C92" s="12" t="s">
        <v>162</v>
      </c>
      <c r="D92" s="12" t="s">
        <v>163</v>
      </c>
      <c r="E92" s="12" t="s">
        <v>321</v>
      </c>
      <c r="F92" s="12" t="s">
        <v>64</v>
      </c>
      <c r="G92" s="16">
        <v>45526</v>
      </c>
      <c r="H92" s="16">
        <v>45527</v>
      </c>
      <c r="I92" s="14">
        <f t="shared" si="4"/>
        <v>2</v>
      </c>
      <c r="J92" s="15">
        <v>0</v>
      </c>
      <c r="K92" s="15">
        <v>0</v>
      </c>
      <c r="L92" s="15">
        <v>9</v>
      </c>
      <c r="M92" s="15">
        <v>0</v>
      </c>
      <c r="N92" s="15">
        <v>0</v>
      </c>
      <c r="O92" s="15">
        <v>0</v>
      </c>
      <c r="P92" s="15">
        <v>0</v>
      </c>
      <c r="Q92" s="15">
        <v>9</v>
      </c>
    </row>
    <row r="93" spans="2:17" ht="30" x14ac:dyDescent="0.3">
      <c r="B93" s="11">
        <f t="shared" si="3"/>
        <v>87</v>
      </c>
      <c r="C93" s="12" t="s">
        <v>164</v>
      </c>
      <c r="D93" s="12" t="s">
        <v>165</v>
      </c>
      <c r="E93" s="12" t="s">
        <v>321</v>
      </c>
      <c r="F93" s="12" t="s">
        <v>24</v>
      </c>
      <c r="G93" s="16">
        <v>45526</v>
      </c>
      <c r="H93" s="16">
        <v>45526</v>
      </c>
      <c r="I93" s="14">
        <f t="shared" si="4"/>
        <v>1</v>
      </c>
      <c r="J93" s="15">
        <v>0</v>
      </c>
      <c r="K93" s="15">
        <v>0</v>
      </c>
      <c r="L93" s="15">
        <v>3</v>
      </c>
      <c r="M93" s="15">
        <v>0</v>
      </c>
      <c r="N93" s="15">
        <v>0</v>
      </c>
      <c r="O93" s="15">
        <v>0</v>
      </c>
      <c r="P93" s="15">
        <v>6</v>
      </c>
      <c r="Q93" s="15">
        <v>9</v>
      </c>
    </row>
    <row r="94" spans="2:17" ht="30" x14ac:dyDescent="0.3">
      <c r="B94" s="11">
        <f t="shared" si="3"/>
        <v>88</v>
      </c>
      <c r="C94" s="12" t="s">
        <v>166</v>
      </c>
      <c r="D94" s="12" t="s">
        <v>19</v>
      </c>
      <c r="E94" s="12" t="s">
        <v>321</v>
      </c>
      <c r="F94" s="12" t="s">
        <v>29</v>
      </c>
      <c r="G94" s="16">
        <v>45525</v>
      </c>
      <c r="H94" s="16">
        <v>45527</v>
      </c>
      <c r="I94" s="14">
        <f t="shared" si="4"/>
        <v>3</v>
      </c>
      <c r="J94" s="15">
        <v>0</v>
      </c>
      <c r="K94" s="15">
        <v>3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3</v>
      </c>
    </row>
    <row r="95" spans="2:17" ht="60" x14ac:dyDescent="0.3">
      <c r="B95" s="11">
        <f t="shared" si="3"/>
        <v>89</v>
      </c>
      <c r="C95" s="12" t="s">
        <v>167</v>
      </c>
      <c r="D95" s="12" t="s">
        <v>104</v>
      </c>
      <c r="E95" s="12" t="s">
        <v>321</v>
      </c>
      <c r="F95" s="12" t="s">
        <v>23</v>
      </c>
      <c r="G95" s="16">
        <v>45526</v>
      </c>
      <c r="H95" s="16">
        <v>45527</v>
      </c>
      <c r="I95" s="14">
        <f t="shared" si="4"/>
        <v>2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1</v>
      </c>
    </row>
    <row r="96" spans="2:17" ht="45" x14ac:dyDescent="0.3">
      <c r="B96" s="11">
        <f t="shared" si="3"/>
        <v>90</v>
      </c>
      <c r="C96" s="12" t="s">
        <v>168</v>
      </c>
      <c r="D96" s="12" t="s">
        <v>169</v>
      </c>
      <c r="E96" s="12" t="s">
        <v>321</v>
      </c>
      <c r="F96" s="12" t="s">
        <v>64</v>
      </c>
      <c r="G96" s="16">
        <v>45532</v>
      </c>
      <c r="H96" s="16">
        <v>45533</v>
      </c>
      <c r="I96" s="14">
        <f t="shared" si="4"/>
        <v>2</v>
      </c>
      <c r="J96" s="15">
        <v>0</v>
      </c>
      <c r="K96" s="15">
        <v>0</v>
      </c>
      <c r="L96" s="15">
        <v>2</v>
      </c>
      <c r="M96" s="15">
        <v>0</v>
      </c>
      <c r="N96" s="15">
        <v>0</v>
      </c>
      <c r="O96" s="15">
        <v>0</v>
      </c>
      <c r="P96" s="15">
        <v>0</v>
      </c>
      <c r="Q96" s="15">
        <v>2</v>
      </c>
    </row>
    <row r="97" spans="2:17" ht="30" x14ac:dyDescent="0.3">
      <c r="B97" s="11">
        <f t="shared" si="3"/>
        <v>91</v>
      </c>
      <c r="C97" s="12" t="s">
        <v>170</v>
      </c>
      <c r="D97" s="12" t="s">
        <v>19</v>
      </c>
      <c r="E97" s="12" t="s">
        <v>321</v>
      </c>
      <c r="F97" s="12" t="s">
        <v>61</v>
      </c>
      <c r="G97" s="16">
        <v>45509</v>
      </c>
      <c r="H97" s="16">
        <v>45513</v>
      </c>
      <c r="I97" s="14">
        <f t="shared" si="4"/>
        <v>5</v>
      </c>
      <c r="J97" s="15">
        <v>0</v>
      </c>
      <c r="K97" s="15">
        <v>2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2</v>
      </c>
    </row>
    <row r="98" spans="2:17" ht="45" x14ac:dyDescent="0.3">
      <c r="B98" s="11">
        <f t="shared" si="3"/>
        <v>92</v>
      </c>
      <c r="C98" s="12" t="s">
        <v>171</v>
      </c>
      <c r="D98" s="14" t="s">
        <v>22</v>
      </c>
      <c r="E98" s="12" t="s">
        <v>321</v>
      </c>
      <c r="F98" s="12" t="s">
        <v>23</v>
      </c>
      <c r="G98" s="16">
        <v>45491</v>
      </c>
      <c r="H98" s="16">
        <v>45492</v>
      </c>
      <c r="I98" s="14">
        <f t="shared" si="4"/>
        <v>2</v>
      </c>
      <c r="J98" s="15">
        <v>0</v>
      </c>
      <c r="K98" s="15">
        <v>3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3</v>
      </c>
    </row>
    <row r="99" spans="2:17" ht="30" x14ac:dyDescent="0.3">
      <c r="B99" s="11">
        <f t="shared" si="3"/>
        <v>93</v>
      </c>
      <c r="C99" s="12" t="s">
        <v>172</v>
      </c>
      <c r="D99" s="12" t="s">
        <v>19</v>
      </c>
      <c r="E99" s="12" t="s">
        <v>321</v>
      </c>
      <c r="F99" s="12" t="s">
        <v>44</v>
      </c>
      <c r="G99" s="16">
        <v>45537</v>
      </c>
      <c r="H99" s="16">
        <v>45542</v>
      </c>
      <c r="I99" s="14">
        <f t="shared" si="4"/>
        <v>6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6</v>
      </c>
      <c r="P99" s="15">
        <v>0</v>
      </c>
      <c r="Q99" s="15">
        <v>6</v>
      </c>
    </row>
    <row r="100" spans="2:17" ht="30" x14ac:dyDescent="0.3">
      <c r="B100" s="11">
        <f t="shared" si="3"/>
        <v>94</v>
      </c>
      <c r="C100" s="12" t="s">
        <v>173</v>
      </c>
      <c r="D100" s="12" t="s">
        <v>38</v>
      </c>
      <c r="E100" s="12" t="s">
        <v>321</v>
      </c>
      <c r="F100" s="12" t="s">
        <v>107</v>
      </c>
      <c r="G100" s="16">
        <v>45545</v>
      </c>
      <c r="H100" s="16">
        <v>45546</v>
      </c>
      <c r="I100" s="14">
        <f t="shared" si="4"/>
        <v>2</v>
      </c>
      <c r="J100" s="15">
        <v>3</v>
      </c>
      <c r="K100" s="15">
        <v>5</v>
      </c>
      <c r="L100" s="15">
        <v>5</v>
      </c>
      <c r="M100" s="15">
        <v>0</v>
      </c>
      <c r="N100" s="15">
        <v>0</v>
      </c>
      <c r="O100" s="15">
        <v>0</v>
      </c>
      <c r="P100" s="15">
        <v>0</v>
      </c>
      <c r="Q100" s="15">
        <v>13</v>
      </c>
    </row>
    <row r="101" spans="2:17" ht="45" x14ac:dyDescent="0.3">
      <c r="B101" s="11">
        <f t="shared" si="3"/>
        <v>95</v>
      </c>
      <c r="C101" s="12" t="s">
        <v>174</v>
      </c>
      <c r="D101" s="12" t="s">
        <v>85</v>
      </c>
      <c r="E101" s="12" t="s">
        <v>321</v>
      </c>
      <c r="F101" s="12" t="s">
        <v>64</v>
      </c>
      <c r="G101" s="16">
        <v>45552</v>
      </c>
      <c r="H101" s="16">
        <v>45555</v>
      </c>
      <c r="I101" s="14">
        <f t="shared" si="4"/>
        <v>4</v>
      </c>
      <c r="J101" s="15">
        <v>0</v>
      </c>
      <c r="K101" s="15">
        <v>0</v>
      </c>
      <c r="L101" s="15">
        <v>3</v>
      </c>
      <c r="M101" s="15">
        <v>0</v>
      </c>
      <c r="N101" s="15">
        <v>0</v>
      </c>
      <c r="O101" s="15">
        <v>0</v>
      </c>
      <c r="P101" s="15">
        <v>0</v>
      </c>
      <c r="Q101" s="15">
        <v>3</v>
      </c>
    </row>
    <row r="102" spans="2:17" ht="45" x14ac:dyDescent="0.3">
      <c r="B102" s="11">
        <f t="shared" si="3"/>
        <v>96</v>
      </c>
      <c r="C102" s="12" t="s">
        <v>175</v>
      </c>
      <c r="D102" s="12" t="s">
        <v>85</v>
      </c>
      <c r="E102" s="12" t="s">
        <v>321</v>
      </c>
      <c r="F102" s="12" t="s">
        <v>64</v>
      </c>
      <c r="G102" s="16"/>
      <c r="H102" s="16"/>
      <c r="I102" s="14" t="str">
        <f t="shared" si="4"/>
        <v/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</row>
    <row r="103" spans="2:17" ht="45" x14ac:dyDescent="0.3">
      <c r="B103" s="11">
        <f t="shared" si="3"/>
        <v>97</v>
      </c>
      <c r="C103" s="12" t="s">
        <v>176</v>
      </c>
      <c r="D103" s="12" t="s">
        <v>85</v>
      </c>
      <c r="E103" s="12" t="s">
        <v>321</v>
      </c>
      <c r="F103" s="12" t="s">
        <v>64</v>
      </c>
      <c r="G103" s="16">
        <v>45544</v>
      </c>
      <c r="H103" s="16">
        <v>45548</v>
      </c>
      <c r="I103" s="14">
        <f t="shared" si="4"/>
        <v>5</v>
      </c>
      <c r="J103" s="15">
        <v>0</v>
      </c>
      <c r="K103" s="15">
        <v>0</v>
      </c>
      <c r="L103" s="15">
        <v>4</v>
      </c>
      <c r="M103" s="15">
        <v>0</v>
      </c>
      <c r="N103" s="15">
        <v>0</v>
      </c>
      <c r="O103" s="15">
        <v>0</v>
      </c>
      <c r="P103" s="15">
        <v>0</v>
      </c>
      <c r="Q103" s="15">
        <v>4</v>
      </c>
    </row>
    <row r="104" spans="2:17" ht="45" x14ac:dyDescent="0.3">
      <c r="B104" s="11">
        <f t="shared" si="3"/>
        <v>98</v>
      </c>
      <c r="C104" s="12" t="s">
        <v>177</v>
      </c>
      <c r="D104" s="12" t="s">
        <v>85</v>
      </c>
      <c r="E104" s="12" t="s">
        <v>321</v>
      </c>
      <c r="F104" s="12" t="s">
        <v>64</v>
      </c>
      <c r="G104" s="16">
        <v>45643</v>
      </c>
      <c r="H104" s="16">
        <v>45646</v>
      </c>
      <c r="I104" s="14">
        <f t="shared" si="4"/>
        <v>4</v>
      </c>
      <c r="J104" s="15">
        <v>0</v>
      </c>
      <c r="K104" s="15">
        <v>0</v>
      </c>
      <c r="L104" s="15">
        <v>4</v>
      </c>
      <c r="M104" s="15">
        <v>0</v>
      </c>
      <c r="N104" s="15">
        <v>0</v>
      </c>
      <c r="O104" s="15">
        <v>0</v>
      </c>
      <c r="P104" s="15">
        <v>0</v>
      </c>
      <c r="Q104" s="15">
        <v>4</v>
      </c>
    </row>
    <row r="105" spans="2:17" ht="30" x14ac:dyDescent="0.3">
      <c r="B105" s="11">
        <f t="shared" si="3"/>
        <v>99</v>
      </c>
      <c r="C105" s="12" t="s">
        <v>178</v>
      </c>
      <c r="D105" s="12" t="s">
        <v>63</v>
      </c>
      <c r="E105" s="12" t="s">
        <v>321</v>
      </c>
      <c r="F105" s="12" t="s">
        <v>64</v>
      </c>
      <c r="G105" s="16">
        <v>45559</v>
      </c>
      <c r="H105" s="16">
        <v>45562</v>
      </c>
      <c r="I105" s="14">
        <f t="shared" si="4"/>
        <v>4</v>
      </c>
      <c r="J105" s="15">
        <v>0</v>
      </c>
      <c r="K105" s="15">
        <v>0</v>
      </c>
      <c r="L105" s="15">
        <v>0</v>
      </c>
      <c r="M105" s="15">
        <v>3</v>
      </c>
      <c r="N105" s="15">
        <v>0</v>
      </c>
      <c r="O105" s="15">
        <v>0</v>
      </c>
      <c r="P105" s="15">
        <v>2</v>
      </c>
      <c r="Q105" s="15">
        <v>5</v>
      </c>
    </row>
    <row r="106" spans="2:17" ht="30" x14ac:dyDescent="0.3">
      <c r="B106" s="11">
        <f t="shared" si="3"/>
        <v>100</v>
      </c>
      <c r="C106" s="12" t="s">
        <v>179</v>
      </c>
      <c r="D106" s="12" t="s">
        <v>180</v>
      </c>
      <c r="E106" s="12" t="s">
        <v>321</v>
      </c>
      <c r="F106" s="12" t="s">
        <v>79</v>
      </c>
      <c r="G106" s="16">
        <v>45538</v>
      </c>
      <c r="H106" s="16">
        <v>45539</v>
      </c>
      <c r="I106" s="14">
        <f t="shared" si="4"/>
        <v>2</v>
      </c>
      <c r="J106" s="15">
        <v>0</v>
      </c>
      <c r="K106" s="15">
        <v>5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5</v>
      </c>
    </row>
    <row r="107" spans="2:17" ht="30" x14ac:dyDescent="0.3">
      <c r="B107" s="11">
        <f t="shared" si="3"/>
        <v>101</v>
      </c>
      <c r="C107" s="12" t="s">
        <v>181</v>
      </c>
      <c r="D107" s="12" t="s">
        <v>182</v>
      </c>
      <c r="E107" s="12" t="s">
        <v>321</v>
      </c>
      <c r="F107" s="12" t="s">
        <v>79</v>
      </c>
      <c r="G107" s="16">
        <v>45559</v>
      </c>
      <c r="H107" s="16">
        <v>45560</v>
      </c>
      <c r="I107" s="14">
        <f t="shared" si="4"/>
        <v>2</v>
      </c>
      <c r="J107" s="15">
        <v>0</v>
      </c>
      <c r="K107" s="15">
        <v>0</v>
      </c>
      <c r="L107" s="15">
        <v>0</v>
      </c>
      <c r="M107" s="15">
        <v>3</v>
      </c>
      <c r="N107" s="15">
        <v>2</v>
      </c>
      <c r="O107" s="15">
        <v>0</v>
      </c>
      <c r="P107" s="15">
        <v>1</v>
      </c>
      <c r="Q107" s="15">
        <v>6</v>
      </c>
    </row>
    <row r="108" spans="2:17" ht="45" x14ac:dyDescent="0.3">
      <c r="B108" s="11">
        <f t="shared" si="3"/>
        <v>102</v>
      </c>
      <c r="C108" s="23" t="s">
        <v>183</v>
      </c>
      <c r="D108" s="12" t="s">
        <v>85</v>
      </c>
      <c r="E108" s="12" t="s">
        <v>321</v>
      </c>
      <c r="F108" s="12" t="s">
        <v>64</v>
      </c>
      <c r="G108" s="16">
        <v>45558</v>
      </c>
      <c r="H108" s="16">
        <v>45562</v>
      </c>
      <c r="I108" s="14">
        <f t="shared" si="4"/>
        <v>5</v>
      </c>
      <c r="J108" s="15">
        <v>0</v>
      </c>
      <c r="K108" s="15">
        <v>1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1</v>
      </c>
    </row>
    <row r="109" spans="2:17" ht="60" x14ac:dyDescent="0.25">
      <c r="B109" s="11">
        <f t="shared" si="3"/>
        <v>103</v>
      </c>
      <c r="C109" s="24" t="s">
        <v>184</v>
      </c>
      <c r="D109" s="12" t="s">
        <v>127</v>
      </c>
      <c r="E109" s="24" t="s">
        <v>321</v>
      </c>
      <c r="F109" s="24" t="s">
        <v>128</v>
      </c>
      <c r="G109" s="16">
        <v>45561</v>
      </c>
      <c r="H109" s="16">
        <v>45562</v>
      </c>
      <c r="I109" s="14">
        <f t="shared" si="4"/>
        <v>2</v>
      </c>
      <c r="J109" s="15">
        <v>0</v>
      </c>
      <c r="K109" s="15">
        <v>0</v>
      </c>
      <c r="L109" s="15">
        <v>0</v>
      </c>
      <c r="M109" s="15">
        <v>4</v>
      </c>
      <c r="N109" s="15">
        <v>0</v>
      </c>
      <c r="O109" s="15">
        <v>0</v>
      </c>
      <c r="P109" s="15">
        <v>0</v>
      </c>
      <c r="Q109" s="15">
        <v>4</v>
      </c>
    </row>
    <row r="110" spans="2:17" ht="15" x14ac:dyDescent="0.25">
      <c r="B110" s="11">
        <f t="shared" si="3"/>
        <v>104</v>
      </c>
      <c r="C110" s="24" t="s">
        <v>185</v>
      </c>
      <c r="D110" s="24" t="s">
        <v>117</v>
      </c>
      <c r="E110" s="24" t="s">
        <v>321</v>
      </c>
      <c r="F110" s="24" t="s">
        <v>186</v>
      </c>
      <c r="G110" s="16">
        <v>45559</v>
      </c>
      <c r="H110" s="16">
        <v>45559</v>
      </c>
      <c r="I110" s="14">
        <f t="shared" si="4"/>
        <v>1</v>
      </c>
      <c r="J110" s="15">
        <v>0</v>
      </c>
      <c r="K110" s="15">
        <v>0</v>
      </c>
      <c r="L110" s="15">
        <v>0</v>
      </c>
      <c r="M110" s="15">
        <v>44</v>
      </c>
      <c r="N110" s="15">
        <v>0</v>
      </c>
      <c r="O110" s="15">
        <v>0</v>
      </c>
      <c r="P110" s="15">
        <v>0</v>
      </c>
      <c r="Q110" s="15">
        <v>44</v>
      </c>
    </row>
    <row r="111" spans="2:17" ht="30" x14ac:dyDescent="0.25">
      <c r="B111" s="11">
        <f t="shared" si="3"/>
        <v>105</v>
      </c>
      <c r="C111" s="24" t="s">
        <v>187</v>
      </c>
      <c r="D111" s="24" t="s">
        <v>188</v>
      </c>
      <c r="E111" s="24" t="s">
        <v>51</v>
      </c>
      <c r="F111" s="24" t="s">
        <v>68</v>
      </c>
      <c r="G111" s="16">
        <v>45561</v>
      </c>
      <c r="H111" s="16">
        <v>45561</v>
      </c>
      <c r="I111" s="14">
        <f t="shared" si="4"/>
        <v>1</v>
      </c>
      <c r="J111" s="15">
        <v>0</v>
      </c>
      <c r="K111" s="15">
        <v>18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18</v>
      </c>
    </row>
    <row r="112" spans="2:17" ht="45" x14ac:dyDescent="0.3">
      <c r="B112" s="11">
        <f t="shared" si="3"/>
        <v>106</v>
      </c>
      <c r="C112" s="12" t="s">
        <v>189</v>
      </c>
      <c r="D112" s="12" t="s">
        <v>190</v>
      </c>
      <c r="E112" s="12" t="s">
        <v>321</v>
      </c>
      <c r="F112" s="12" t="s">
        <v>23</v>
      </c>
      <c r="G112" s="16">
        <v>45565</v>
      </c>
      <c r="H112" s="16">
        <v>45565</v>
      </c>
      <c r="I112" s="14">
        <f t="shared" si="4"/>
        <v>1</v>
      </c>
      <c r="J112" s="15">
        <v>2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2</v>
      </c>
    </row>
    <row r="113" spans="2:17" ht="15" x14ac:dyDescent="0.25">
      <c r="B113" s="11">
        <f t="shared" si="3"/>
        <v>107</v>
      </c>
      <c r="C113" s="22" t="s">
        <v>137</v>
      </c>
      <c r="D113" s="14" t="s">
        <v>138</v>
      </c>
      <c r="E113" s="14" t="s">
        <v>321</v>
      </c>
      <c r="F113" s="12" t="s">
        <v>139</v>
      </c>
      <c r="G113" s="16">
        <v>45558</v>
      </c>
      <c r="H113" s="16">
        <v>45562</v>
      </c>
      <c r="I113" s="14">
        <f>IF(G113="","",H113-G113+1)</f>
        <v>5</v>
      </c>
      <c r="J113" s="15">
        <v>4</v>
      </c>
      <c r="K113" s="15">
        <v>4</v>
      </c>
      <c r="L113" s="15">
        <v>4</v>
      </c>
      <c r="M113" s="15">
        <v>4</v>
      </c>
      <c r="N113" s="15">
        <v>5</v>
      </c>
      <c r="O113" s="15">
        <v>5</v>
      </c>
      <c r="P113" s="15">
        <v>4</v>
      </c>
      <c r="Q113" s="15">
        <v>30</v>
      </c>
    </row>
    <row r="114" spans="2:17" ht="30" x14ac:dyDescent="0.3">
      <c r="B114" s="11">
        <f t="shared" si="3"/>
        <v>108</v>
      </c>
      <c r="C114" s="12" t="s">
        <v>191</v>
      </c>
      <c r="D114" s="17" t="s">
        <v>53</v>
      </c>
      <c r="E114" s="12" t="s">
        <v>321</v>
      </c>
      <c r="F114" s="12" t="s">
        <v>54</v>
      </c>
      <c r="G114" s="16">
        <v>45586</v>
      </c>
      <c r="H114" s="16">
        <v>45591</v>
      </c>
      <c r="I114" s="14">
        <f t="shared" si="4"/>
        <v>6</v>
      </c>
      <c r="J114" s="15">
        <v>2</v>
      </c>
      <c r="K114" s="15">
        <v>6</v>
      </c>
      <c r="L114" s="15">
        <v>4</v>
      </c>
      <c r="M114" s="15">
        <v>4</v>
      </c>
      <c r="N114" s="15">
        <v>0</v>
      </c>
      <c r="O114" s="15">
        <v>4</v>
      </c>
      <c r="P114" s="15">
        <v>5</v>
      </c>
      <c r="Q114" s="15">
        <v>25</v>
      </c>
    </row>
    <row r="115" spans="2:17" ht="45" x14ac:dyDescent="0.3">
      <c r="B115" s="11">
        <f t="shared" si="3"/>
        <v>109</v>
      </c>
      <c r="C115" s="12" t="s">
        <v>192</v>
      </c>
      <c r="D115" s="14" t="s">
        <v>22</v>
      </c>
      <c r="E115" s="12" t="s">
        <v>321</v>
      </c>
      <c r="F115" s="12" t="s">
        <v>24</v>
      </c>
      <c r="G115" s="16">
        <v>45581</v>
      </c>
      <c r="H115" s="16">
        <v>45583</v>
      </c>
      <c r="I115" s="14">
        <f t="shared" si="4"/>
        <v>3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</row>
    <row r="116" spans="2:17" ht="45" x14ac:dyDescent="0.3">
      <c r="B116" s="11">
        <f t="shared" si="3"/>
        <v>110</v>
      </c>
      <c r="C116" s="12" t="s">
        <v>193</v>
      </c>
      <c r="D116" s="14" t="s">
        <v>22</v>
      </c>
      <c r="E116" s="12" t="s">
        <v>321</v>
      </c>
      <c r="F116" s="12" t="s">
        <v>23</v>
      </c>
      <c r="G116" s="16">
        <v>45572</v>
      </c>
      <c r="H116" s="16">
        <v>45573</v>
      </c>
      <c r="I116" s="14">
        <f t="shared" si="4"/>
        <v>2</v>
      </c>
      <c r="J116" s="15">
        <v>0</v>
      </c>
      <c r="K116" s="15">
        <v>3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3</v>
      </c>
    </row>
    <row r="117" spans="2:17" ht="30" x14ac:dyDescent="0.3">
      <c r="B117" s="11">
        <f t="shared" si="3"/>
        <v>111</v>
      </c>
      <c r="C117" s="12" t="s">
        <v>194</v>
      </c>
      <c r="D117" s="12" t="s">
        <v>38</v>
      </c>
      <c r="E117" s="12" t="s">
        <v>321</v>
      </c>
      <c r="F117" s="12" t="s">
        <v>23</v>
      </c>
      <c r="G117" s="16">
        <v>45572</v>
      </c>
      <c r="H117" s="16">
        <v>45573</v>
      </c>
      <c r="I117" s="14">
        <f t="shared" si="4"/>
        <v>2</v>
      </c>
      <c r="J117" s="15">
        <v>0</v>
      </c>
      <c r="K117" s="15">
        <v>7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7</v>
      </c>
    </row>
    <row r="118" spans="2:17" ht="45" x14ac:dyDescent="0.3">
      <c r="B118" s="11">
        <f t="shared" si="3"/>
        <v>112</v>
      </c>
      <c r="C118" s="12" t="s">
        <v>195</v>
      </c>
      <c r="D118" s="12" t="s">
        <v>59</v>
      </c>
      <c r="E118" s="12" t="s">
        <v>321</v>
      </c>
      <c r="F118" s="12" t="s">
        <v>24</v>
      </c>
      <c r="G118" s="16">
        <v>45580</v>
      </c>
      <c r="H118" s="16">
        <v>45581</v>
      </c>
      <c r="I118" s="14">
        <f t="shared" si="4"/>
        <v>2</v>
      </c>
      <c r="J118" s="15">
        <v>0</v>
      </c>
      <c r="K118" s="15">
        <v>8</v>
      </c>
      <c r="L118" s="15">
        <v>27</v>
      </c>
      <c r="M118" s="15">
        <v>0</v>
      </c>
      <c r="N118" s="15">
        <v>0</v>
      </c>
      <c r="O118" s="15">
        <v>0</v>
      </c>
      <c r="P118" s="15">
        <v>0</v>
      </c>
      <c r="Q118" s="15">
        <v>35</v>
      </c>
    </row>
    <row r="119" spans="2:17" ht="30" x14ac:dyDescent="0.3">
      <c r="B119" s="11">
        <f t="shared" si="3"/>
        <v>113</v>
      </c>
      <c r="C119" s="12" t="s">
        <v>196</v>
      </c>
      <c r="D119" s="12" t="s">
        <v>19</v>
      </c>
      <c r="E119" s="12" t="s">
        <v>321</v>
      </c>
      <c r="F119" s="12" t="s">
        <v>61</v>
      </c>
      <c r="G119" s="16">
        <v>45544</v>
      </c>
      <c r="H119" s="16">
        <v>45549</v>
      </c>
      <c r="I119" s="14">
        <f t="shared" si="4"/>
        <v>6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3</v>
      </c>
      <c r="Q119" s="15">
        <v>3</v>
      </c>
    </row>
    <row r="120" spans="2:17" ht="30" x14ac:dyDescent="0.3">
      <c r="B120" s="11">
        <f t="shared" si="3"/>
        <v>114</v>
      </c>
      <c r="C120" s="12" t="s">
        <v>196</v>
      </c>
      <c r="D120" s="12" t="s">
        <v>19</v>
      </c>
      <c r="E120" s="12" t="s">
        <v>321</v>
      </c>
      <c r="F120" s="12" t="s">
        <v>61</v>
      </c>
      <c r="G120" s="16">
        <v>45579</v>
      </c>
      <c r="H120" s="16">
        <v>45584</v>
      </c>
      <c r="I120" s="14">
        <f t="shared" si="4"/>
        <v>6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</row>
    <row r="121" spans="2:17" ht="30" x14ac:dyDescent="0.3">
      <c r="B121" s="11">
        <f t="shared" si="3"/>
        <v>115</v>
      </c>
      <c r="C121" s="12" t="s">
        <v>196</v>
      </c>
      <c r="D121" s="12" t="s">
        <v>19</v>
      </c>
      <c r="E121" s="12" t="s">
        <v>321</v>
      </c>
      <c r="F121" s="12" t="s">
        <v>61</v>
      </c>
      <c r="G121" s="16">
        <v>45600</v>
      </c>
      <c r="H121" s="16">
        <v>45605</v>
      </c>
      <c r="I121" s="14">
        <f t="shared" si="4"/>
        <v>6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4</v>
      </c>
      <c r="Q121" s="15">
        <v>4</v>
      </c>
    </row>
    <row r="122" spans="2:17" ht="30" x14ac:dyDescent="0.3">
      <c r="B122" s="11">
        <f t="shared" si="3"/>
        <v>116</v>
      </c>
      <c r="C122" s="12" t="s">
        <v>196</v>
      </c>
      <c r="D122" s="12" t="s">
        <v>19</v>
      </c>
      <c r="E122" s="12" t="s">
        <v>321</v>
      </c>
      <c r="F122" s="12" t="s">
        <v>61</v>
      </c>
      <c r="G122" s="16">
        <v>45628</v>
      </c>
      <c r="H122" s="16">
        <v>45633</v>
      </c>
      <c r="I122" s="14">
        <f t="shared" si="4"/>
        <v>6</v>
      </c>
      <c r="J122" s="15">
        <v>0</v>
      </c>
      <c r="K122" s="15">
        <v>0</v>
      </c>
      <c r="L122" s="15">
        <v>0</v>
      </c>
      <c r="M122" s="15">
        <v>0</v>
      </c>
      <c r="N122" s="15">
        <v>8</v>
      </c>
      <c r="O122" s="15">
        <v>0</v>
      </c>
      <c r="P122" s="15">
        <v>2</v>
      </c>
      <c r="Q122" s="15">
        <v>10</v>
      </c>
    </row>
    <row r="123" spans="2:17" ht="30" x14ac:dyDescent="0.3">
      <c r="B123" s="11">
        <f t="shared" si="3"/>
        <v>117</v>
      </c>
      <c r="C123" s="12" t="s">
        <v>197</v>
      </c>
      <c r="D123" s="12" t="s">
        <v>19</v>
      </c>
      <c r="E123" s="12" t="s">
        <v>321</v>
      </c>
      <c r="F123" s="12" t="s">
        <v>61</v>
      </c>
      <c r="G123" s="16">
        <v>45558</v>
      </c>
      <c r="H123" s="16">
        <v>45563</v>
      </c>
      <c r="I123" s="14">
        <f t="shared" si="4"/>
        <v>6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3</v>
      </c>
      <c r="Q123" s="15">
        <v>3</v>
      </c>
    </row>
    <row r="124" spans="2:17" ht="30" x14ac:dyDescent="0.3">
      <c r="B124" s="11">
        <f t="shared" si="3"/>
        <v>118</v>
      </c>
      <c r="C124" s="12" t="s">
        <v>197</v>
      </c>
      <c r="D124" s="12" t="s">
        <v>19</v>
      </c>
      <c r="E124" s="12" t="s">
        <v>321</v>
      </c>
      <c r="F124" s="12" t="s">
        <v>61</v>
      </c>
      <c r="G124" s="16">
        <v>45586</v>
      </c>
      <c r="H124" s="16">
        <v>45591</v>
      </c>
      <c r="I124" s="14">
        <f t="shared" si="4"/>
        <v>6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4</v>
      </c>
      <c r="Q124" s="15">
        <v>4</v>
      </c>
    </row>
    <row r="125" spans="2:17" ht="30" x14ac:dyDescent="0.3">
      <c r="B125" s="11">
        <f t="shared" si="3"/>
        <v>119</v>
      </c>
      <c r="C125" s="12" t="s">
        <v>197</v>
      </c>
      <c r="D125" s="12" t="s">
        <v>19</v>
      </c>
      <c r="E125" s="12" t="s">
        <v>321</v>
      </c>
      <c r="F125" s="12" t="s">
        <v>61</v>
      </c>
      <c r="G125" s="16">
        <v>45614</v>
      </c>
      <c r="H125" s="16">
        <v>45619</v>
      </c>
      <c r="I125" s="14">
        <f t="shared" si="4"/>
        <v>6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3</v>
      </c>
      <c r="Q125" s="15">
        <v>3</v>
      </c>
    </row>
    <row r="126" spans="2:17" ht="30" x14ac:dyDescent="0.3">
      <c r="B126" s="11">
        <f t="shared" si="3"/>
        <v>120</v>
      </c>
      <c r="C126" s="12" t="s">
        <v>197</v>
      </c>
      <c r="D126" s="12" t="s">
        <v>19</v>
      </c>
      <c r="E126" s="12" t="s">
        <v>321</v>
      </c>
      <c r="F126" s="12" t="s">
        <v>61</v>
      </c>
      <c r="G126" s="16">
        <v>45642</v>
      </c>
      <c r="H126" s="16">
        <v>45647</v>
      </c>
      <c r="I126" s="14">
        <f t="shared" si="4"/>
        <v>6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4</v>
      </c>
      <c r="Q126" s="15">
        <v>4</v>
      </c>
    </row>
    <row r="127" spans="2:17" ht="45" x14ac:dyDescent="0.3">
      <c r="B127" s="11">
        <f t="shared" si="3"/>
        <v>121</v>
      </c>
      <c r="C127" s="12" t="s">
        <v>111</v>
      </c>
      <c r="D127" s="12" t="s">
        <v>112</v>
      </c>
      <c r="E127" s="12" t="s">
        <v>321</v>
      </c>
      <c r="F127" s="12" t="s">
        <v>113</v>
      </c>
      <c r="G127" s="13">
        <v>45554</v>
      </c>
      <c r="H127" s="16">
        <v>45556</v>
      </c>
      <c r="I127" s="14">
        <f t="shared" si="4"/>
        <v>3</v>
      </c>
      <c r="J127" s="15">
        <v>0</v>
      </c>
      <c r="K127" s="15">
        <v>0</v>
      </c>
      <c r="L127" s="15">
        <v>0</v>
      </c>
      <c r="M127" s="15">
        <v>2</v>
      </c>
      <c r="N127" s="15">
        <v>0</v>
      </c>
      <c r="O127" s="15">
        <v>0</v>
      </c>
      <c r="P127" s="15">
        <v>0</v>
      </c>
      <c r="Q127" s="15">
        <v>2</v>
      </c>
    </row>
    <row r="128" spans="2:17" ht="45" x14ac:dyDescent="0.3">
      <c r="B128" s="11">
        <f t="shared" si="3"/>
        <v>122</v>
      </c>
      <c r="C128" s="12" t="s">
        <v>111</v>
      </c>
      <c r="D128" s="12" t="s">
        <v>112</v>
      </c>
      <c r="E128" s="12" t="s">
        <v>321</v>
      </c>
      <c r="F128" s="12" t="s">
        <v>113</v>
      </c>
      <c r="G128" s="13">
        <v>45582</v>
      </c>
      <c r="H128" s="16">
        <v>45584</v>
      </c>
      <c r="I128" s="14">
        <f t="shared" si="4"/>
        <v>3</v>
      </c>
      <c r="J128" s="15">
        <v>0</v>
      </c>
      <c r="K128" s="15">
        <v>0</v>
      </c>
      <c r="L128" s="15">
        <v>0</v>
      </c>
      <c r="M128" s="15">
        <v>2</v>
      </c>
      <c r="N128" s="15">
        <v>0</v>
      </c>
      <c r="O128" s="15">
        <v>0</v>
      </c>
      <c r="P128" s="15">
        <v>0</v>
      </c>
      <c r="Q128" s="15">
        <v>2</v>
      </c>
    </row>
    <row r="129" spans="2:17" ht="45" x14ac:dyDescent="0.3">
      <c r="B129" s="11">
        <f t="shared" si="3"/>
        <v>123</v>
      </c>
      <c r="C129" s="12" t="s">
        <v>111</v>
      </c>
      <c r="D129" s="12" t="s">
        <v>112</v>
      </c>
      <c r="E129" s="12" t="s">
        <v>321</v>
      </c>
      <c r="F129" s="12" t="s">
        <v>113</v>
      </c>
      <c r="G129" s="13">
        <v>45603</v>
      </c>
      <c r="H129" s="16">
        <v>45605</v>
      </c>
      <c r="I129" s="14">
        <f t="shared" si="4"/>
        <v>3</v>
      </c>
      <c r="J129" s="15">
        <v>0</v>
      </c>
      <c r="K129" s="15">
        <v>0</v>
      </c>
      <c r="L129" s="15">
        <v>0</v>
      </c>
      <c r="M129" s="15">
        <v>2</v>
      </c>
      <c r="N129" s="15">
        <v>0</v>
      </c>
      <c r="O129" s="15">
        <v>0</v>
      </c>
      <c r="P129" s="15">
        <v>0</v>
      </c>
      <c r="Q129" s="15">
        <v>2</v>
      </c>
    </row>
    <row r="130" spans="2:17" ht="60" x14ac:dyDescent="0.3">
      <c r="B130" s="11">
        <f t="shared" si="3"/>
        <v>124</v>
      </c>
      <c r="C130" s="12" t="s">
        <v>198</v>
      </c>
      <c r="D130" s="12" t="s">
        <v>199</v>
      </c>
      <c r="E130" s="12" t="s">
        <v>321</v>
      </c>
      <c r="F130" s="12" t="s">
        <v>50</v>
      </c>
      <c r="G130" s="16">
        <v>45587</v>
      </c>
      <c r="H130" s="16">
        <v>45590</v>
      </c>
      <c r="I130" s="14">
        <f t="shared" si="4"/>
        <v>4</v>
      </c>
      <c r="J130" s="15">
        <v>0</v>
      </c>
      <c r="K130" s="15">
        <v>0</v>
      </c>
      <c r="L130" s="15">
        <v>0</v>
      </c>
      <c r="M130" s="15">
        <v>3</v>
      </c>
      <c r="N130" s="15">
        <v>0</v>
      </c>
      <c r="O130" s="15">
        <v>0</v>
      </c>
      <c r="P130" s="15">
        <v>0</v>
      </c>
      <c r="Q130" s="15">
        <v>3</v>
      </c>
    </row>
    <row r="131" spans="2:17" ht="30" x14ac:dyDescent="0.3">
      <c r="B131" s="11">
        <f t="shared" si="3"/>
        <v>125</v>
      </c>
      <c r="C131" s="12" t="s">
        <v>200</v>
      </c>
      <c r="D131" s="12" t="s">
        <v>199</v>
      </c>
      <c r="E131" s="12" t="s">
        <v>321</v>
      </c>
      <c r="F131" s="12" t="s">
        <v>50</v>
      </c>
      <c r="G131" s="16">
        <v>45701</v>
      </c>
      <c r="H131" s="16">
        <v>45702</v>
      </c>
      <c r="I131" s="14">
        <f t="shared" si="4"/>
        <v>2</v>
      </c>
      <c r="J131" s="15">
        <v>0</v>
      </c>
      <c r="K131" s="15">
        <v>0</v>
      </c>
      <c r="L131" s="15">
        <v>0</v>
      </c>
      <c r="M131" s="15">
        <v>3</v>
      </c>
      <c r="N131" s="15">
        <v>0</v>
      </c>
      <c r="O131" s="15">
        <v>0</v>
      </c>
      <c r="P131" s="15">
        <v>0</v>
      </c>
      <c r="Q131" s="15">
        <v>3</v>
      </c>
    </row>
    <row r="132" spans="2:17" ht="45" x14ac:dyDescent="0.3">
      <c r="B132" s="11">
        <f t="shared" si="3"/>
        <v>126</v>
      </c>
      <c r="C132" s="12" t="s">
        <v>201</v>
      </c>
      <c r="D132" s="12" t="s">
        <v>199</v>
      </c>
      <c r="E132" s="12" t="s">
        <v>321</v>
      </c>
      <c r="F132" s="12" t="s">
        <v>50</v>
      </c>
      <c r="G132" s="16">
        <v>45673</v>
      </c>
      <c r="H132" s="16">
        <v>45674</v>
      </c>
      <c r="I132" s="14">
        <f t="shared" si="4"/>
        <v>2</v>
      </c>
      <c r="J132" s="15">
        <v>0</v>
      </c>
      <c r="K132" s="15">
        <v>0</v>
      </c>
      <c r="L132" s="15">
        <v>0</v>
      </c>
      <c r="M132" s="15">
        <v>3</v>
      </c>
      <c r="N132" s="15">
        <v>0</v>
      </c>
      <c r="O132" s="15">
        <v>0</v>
      </c>
      <c r="P132" s="15">
        <v>0</v>
      </c>
      <c r="Q132" s="15">
        <v>3</v>
      </c>
    </row>
    <row r="133" spans="2:17" ht="30" x14ac:dyDescent="0.3">
      <c r="B133" s="11">
        <f t="shared" si="3"/>
        <v>127</v>
      </c>
      <c r="C133" s="12" t="s">
        <v>202</v>
      </c>
      <c r="D133" s="12" t="s">
        <v>163</v>
      </c>
      <c r="E133" s="12" t="s">
        <v>321</v>
      </c>
      <c r="F133" s="12" t="s">
        <v>186</v>
      </c>
      <c r="G133" s="16">
        <v>45580</v>
      </c>
      <c r="H133" s="16">
        <v>45580</v>
      </c>
      <c r="I133" s="14">
        <f t="shared" si="4"/>
        <v>1</v>
      </c>
      <c r="J133" s="15">
        <v>0</v>
      </c>
      <c r="K133" s="15">
        <v>0</v>
      </c>
      <c r="L133" s="15">
        <v>0</v>
      </c>
      <c r="M133" s="15">
        <v>3</v>
      </c>
      <c r="N133" s="15">
        <v>0</v>
      </c>
      <c r="O133" s="15">
        <v>0</v>
      </c>
      <c r="P133" s="15">
        <v>0</v>
      </c>
      <c r="Q133" s="15">
        <v>3</v>
      </c>
    </row>
    <row r="134" spans="2:17" ht="15" x14ac:dyDescent="0.25">
      <c r="B134" s="11">
        <f t="shared" si="3"/>
        <v>128</v>
      </c>
      <c r="C134" s="22" t="s">
        <v>203</v>
      </c>
      <c r="D134" s="12" t="s">
        <v>63</v>
      </c>
      <c r="E134" s="14" t="s">
        <v>321</v>
      </c>
      <c r="F134" s="14" t="s">
        <v>107</v>
      </c>
      <c r="G134" s="13">
        <v>45583</v>
      </c>
      <c r="H134" s="13">
        <v>45583</v>
      </c>
      <c r="I134" s="14">
        <f t="shared" si="4"/>
        <v>1</v>
      </c>
      <c r="J134" s="15">
        <v>0</v>
      </c>
      <c r="K134" s="15">
        <v>0</v>
      </c>
      <c r="L134" s="15">
        <v>0</v>
      </c>
      <c r="M134" s="15">
        <v>0</v>
      </c>
      <c r="N134" s="15">
        <v>2</v>
      </c>
      <c r="O134" s="15">
        <v>0</v>
      </c>
      <c r="P134" s="15">
        <v>0</v>
      </c>
      <c r="Q134" s="15">
        <v>2</v>
      </c>
    </row>
    <row r="135" spans="2:17" ht="45" x14ac:dyDescent="0.3">
      <c r="B135" s="11">
        <f t="shared" si="3"/>
        <v>129</v>
      </c>
      <c r="C135" s="17" t="s">
        <v>204</v>
      </c>
      <c r="D135" s="17" t="s">
        <v>38</v>
      </c>
      <c r="E135" s="14" t="s">
        <v>321</v>
      </c>
      <c r="F135" s="14" t="s">
        <v>23</v>
      </c>
      <c r="G135" s="13">
        <v>45588</v>
      </c>
      <c r="H135" s="13">
        <v>45588</v>
      </c>
      <c r="I135" s="14">
        <f t="shared" si="4"/>
        <v>1</v>
      </c>
      <c r="J135" s="15">
        <v>0</v>
      </c>
      <c r="K135" s="15">
        <v>0</v>
      </c>
      <c r="L135" s="15">
        <v>3</v>
      </c>
      <c r="M135" s="15">
        <v>0</v>
      </c>
      <c r="N135" s="15">
        <v>0</v>
      </c>
      <c r="O135" s="15">
        <v>0</v>
      </c>
      <c r="P135" s="15">
        <v>0</v>
      </c>
      <c r="Q135" s="15">
        <v>3</v>
      </c>
    </row>
    <row r="136" spans="2:17" ht="30" x14ac:dyDescent="0.3">
      <c r="B136" s="11">
        <f t="shared" si="3"/>
        <v>130</v>
      </c>
      <c r="C136" s="17" t="s">
        <v>205</v>
      </c>
      <c r="D136" s="17" t="s">
        <v>147</v>
      </c>
      <c r="E136" s="14" t="s">
        <v>321</v>
      </c>
      <c r="F136" s="14" t="s">
        <v>118</v>
      </c>
      <c r="G136" s="13">
        <v>45589</v>
      </c>
      <c r="H136" s="13">
        <v>45590</v>
      </c>
      <c r="I136" s="14">
        <f t="shared" si="4"/>
        <v>2</v>
      </c>
      <c r="J136" s="15">
        <v>0</v>
      </c>
      <c r="K136" s="15">
        <v>0</v>
      </c>
      <c r="L136" s="15">
        <v>3</v>
      </c>
      <c r="M136" s="15">
        <v>0</v>
      </c>
      <c r="N136" s="15">
        <v>2</v>
      </c>
      <c r="O136" s="15">
        <v>0</v>
      </c>
      <c r="P136" s="15">
        <v>0</v>
      </c>
      <c r="Q136" s="15">
        <v>5</v>
      </c>
    </row>
    <row r="137" spans="2:17" ht="45" x14ac:dyDescent="0.3">
      <c r="B137" s="11">
        <f t="shared" ref="B137:B200" si="5">IF(C137="","",B136+1)</f>
        <v>131</v>
      </c>
      <c r="C137" s="12" t="s">
        <v>206</v>
      </c>
      <c r="D137" s="12" t="s">
        <v>182</v>
      </c>
      <c r="E137" s="12" t="s">
        <v>321</v>
      </c>
      <c r="F137" s="12" t="s">
        <v>23</v>
      </c>
      <c r="G137" s="16">
        <v>45617</v>
      </c>
      <c r="H137" s="16">
        <v>45618</v>
      </c>
      <c r="I137" s="14">
        <f t="shared" si="4"/>
        <v>2</v>
      </c>
      <c r="J137" s="15">
        <v>0</v>
      </c>
      <c r="K137" s="15">
        <v>0</v>
      </c>
      <c r="L137" s="15">
        <v>0</v>
      </c>
      <c r="M137" s="15">
        <v>3</v>
      </c>
      <c r="N137" s="15">
        <v>2</v>
      </c>
      <c r="O137" s="15">
        <v>0</v>
      </c>
      <c r="P137" s="15">
        <v>2</v>
      </c>
      <c r="Q137" s="15">
        <v>7</v>
      </c>
    </row>
    <row r="138" spans="2:17" ht="45" x14ac:dyDescent="0.25">
      <c r="B138" s="11">
        <f t="shared" si="5"/>
        <v>132</v>
      </c>
      <c r="C138" s="24" t="s">
        <v>207</v>
      </c>
      <c r="D138" s="21" t="s">
        <v>208</v>
      </c>
      <c r="E138" s="24" t="s">
        <v>321</v>
      </c>
      <c r="F138" s="24" t="s">
        <v>57</v>
      </c>
      <c r="G138" s="16">
        <v>45610</v>
      </c>
      <c r="H138" s="16">
        <v>45611</v>
      </c>
      <c r="I138" s="14">
        <f t="shared" ref="I138:I157" si="6">IF(G138="","",H138-G138+1)</f>
        <v>2</v>
      </c>
      <c r="J138" s="15">
        <v>2</v>
      </c>
      <c r="K138" s="15">
        <v>0</v>
      </c>
      <c r="L138" s="15">
        <v>0</v>
      </c>
      <c r="M138" s="15">
        <v>3</v>
      </c>
      <c r="N138" s="15">
        <v>0</v>
      </c>
      <c r="O138" s="15">
        <v>0</v>
      </c>
      <c r="P138" s="15">
        <v>0</v>
      </c>
      <c r="Q138" s="15">
        <v>5</v>
      </c>
    </row>
    <row r="139" spans="2:17" ht="30" x14ac:dyDescent="0.25">
      <c r="B139" s="11">
        <f t="shared" si="5"/>
        <v>133</v>
      </c>
      <c r="C139" s="24" t="s">
        <v>209</v>
      </c>
      <c r="D139" s="12" t="s">
        <v>210</v>
      </c>
      <c r="E139" s="24" t="s">
        <v>321</v>
      </c>
      <c r="F139" s="24" t="s">
        <v>211</v>
      </c>
      <c r="G139" s="16">
        <v>45614</v>
      </c>
      <c r="H139" s="16">
        <v>45618</v>
      </c>
      <c r="I139" s="14">
        <f t="shared" si="6"/>
        <v>5</v>
      </c>
      <c r="J139" s="15">
        <v>3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3</v>
      </c>
    </row>
    <row r="140" spans="2:17" ht="30" x14ac:dyDescent="0.3">
      <c r="B140" s="11">
        <f t="shared" si="5"/>
        <v>134</v>
      </c>
      <c r="C140" s="12" t="s">
        <v>212</v>
      </c>
      <c r="D140" s="12" t="s">
        <v>110</v>
      </c>
      <c r="E140" s="12" t="s">
        <v>321</v>
      </c>
      <c r="F140" s="12" t="s">
        <v>24</v>
      </c>
      <c r="G140" s="16">
        <v>45604</v>
      </c>
      <c r="H140" s="16">
        <v>45604</v>
      </c>
      <c r="I140" s="14">
        <f t="shared" si="6"/>
        <v>1</v>
      </c>
      <c r="J140" s="15">
        <v>0</v>
      </c>
      <c r="K140" s="15">
        <v>0</v>
      </c>
      <c r="L140" s="15">
        <v>0</v>
      </c>
      <c r="M140" s="15">
        <v>0</v>
      </c>
      <c r="N140" s="15">
        <v>2</v>
      </c>
      <c r="O140" s="15">
        <v>0</v>
      </c>
      <c r="P140" s="15">
        <v>0</v>
      </c>
      <c r="Q140" s="15">
        <v>2</v>
      </c>
    </row>
    <row r="141" spans="2:17" ht="45" x14ac:dyDescent="0.25">
      <c r="B141" s="11">
        <f t="shared" si="5"/>
        <v>135</v>
      </c>
      <c r="C141" s="24" t="s">
        <v>213</v>
      </c>
      <c r="D141" s="21" t="s">
        <v>214</v>
      </c>
      <c r="E141" s="24" t="s">
        <v>321</v>
      </c>
      <c r="F141" s="24" t="s">
        <v>23</v>
      </c>
      <c r="G141" s="16">
        <v>45616</v>
      </c>
      <c r="H141" s="16">
        <v>45618</v>
      </c>
      <c r="I141" s="14">
        <f t="shared" si="6"/>
        <v>3</v>
      </c>
      <c r="J141" s="15">
        <v>0</v>
      </c>
      <c r="K141" s="15">
        <v>0</v>
      </c>
      <c r="L141" s="15">
        <v>0</v>
      </c>
      <c r="M141" s="15">
        <v>1</v>
      </c>
      <c r="N141" s="15">
        <v>0</v>
      </c>
      <c r="O141" s="15">
        <v>0</v>
      </c>
      <c r="P141" s="15">
        <v>1</v>
      </c>
      <c r="Q141" s="15">
        <v>2</v>
      </c>
    </row>
    <row r="142" spans="2:17" ht="30" x14ac:dyDescent="0.3">
      <c r="B142" s="11">
        <f t="shared" si="5"/>
        <v>136</v>
      </c>
      <c r="C142" s="12" t="s">
        <v>215</v>
      </c>
      <c r="D142" s="12" t="s">
        <v>19</v>
      </c>
      <c r="E142" s="12" t="s">
        <v>321</v>
      </c>
      <c r="F142" s="12" t="s">
        <v>216</v>
      </c>
      <c r="G142" s="16">
        <v>45614</v>
      </c>
      <c r="H142" s="16">
        <v>45618</v>
      </c>
      <c r="I142" s="14">
        <f t="shared" si="6"/>
        <v>5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</v>
      </c>
      <c r="Q142" s="15">
        <v>1</v>
      </c>
    </row>
    <row r="143" spans="2:17" ht="30" x14ac:dyDescent="0.3">
      <c r="B143" s="11">
        <f t="shared" si="5"/>
        <v>137</v>
      </c>
      <c r="C143" s="14" t="s">
        <v>217</v>
      </c>
      <c r="D143" s="14" t="s">
        <v>117</v>
      </c>
      <c r="E143" s="14" t="s">
        <v>321</v>
      </c>
      <c r="F143" s="14" t="s">
        <v>186</v>
      </c>
      <c r="G143" s="13">
        <v>45574</v>
      </c>
      <c r="H143" s="13">
        <v>45576</v>
      </c>
      <c r="I143" s="14">
        <f t="shared" si="6"/>
        <v>3</v>
      </c>
      <c r="J143" s="15">
        <v>0</v>
      </c>
      <c r="K143" s="15">
        <v>0</v>
      </c>
      <c r="L143" s="15">
        <v>0</v>
      </c>
      <c r="M143" s="15">
        <v>43</v>
      </c>
      <c r="N143" s="15">
        <v>0</v>
      </c>
      <c r="O143" s="15">
        <v>0</v>
      </c>
      <c r="P143" s="15">
        <v>0</v>
      </c>
      <c r="Q143" s="15">
        <v>43</v>
      </c>
    </row>
    <row r="144" spans="2:17" ht="30" x14ac:dyDescent="0.3">
      <c r="B144" s="11">
        <f t="shared" si="5"/>
        <v>138</v>
      </c>
      <c r="C144" s="14" t="s">
        <v>217</v>
      </c>
      <c r="D144" s="14" t="s">
        <v>117</v>
      </c>
      <c r="E144" s="14" t="s">
        <v>321</v>
      </c>
      <c r="F144" s="14" t="s">
        <v>186</v>
      </c>
      <c r="G144" s="13">
        <v>45582</v>
      </c>
      <c r="H144" s="13">
        <v>45584</v>
      </c>
      <c r="I144" s="14">
        <f t="shared" si="6"/>
        <v>3</v>
      </c>
      <c r="J144" s="15">
        <v>0</v>
      </c>
      <c r="K144" s="15">
        <v>0</v>
      </c>
      <c r="L144" s="15">
        <v>0</v>
      </c>
      <c r="M144" s="15">
        <v>30</v>
      </c>
      <c r="N144" s="15">
        <v>0</v>
      </c>
      <c r="O144" s="15">
        <v>0</v>
      </c>
      <c r="P144" s="15">
        <v>0</v>
      </c>
      <c r="Q144" s="15">
        <v>30</v>
      </c>
    </row>
    <row r="145" spans="2:17" ht="60" x14ac:dyDescent="0.3">
      <c r="B145" s="11">
        <f t="shared" si="5"/>
        <v>139</v>
      </c>
      <c r="C145" s="12" t="s">
        <v>218</v>
      </c>
      <c r="D145" s="12" t="s">
        <v>199</v>
      </c>
      <c r="E145" s="12" t="s">
        <v>51</v>
      </c>
      <c r="F145" s="12" t="s">
        <v>68</v>
      </c>
      <c r="G145" s="16">
        <v>45629</v>
      </c>
      <c r="H145" s="16">
        <v>45632</v>
      </c>
      <c r="I145" s="14">
        <f t="shared" si="6"/>
        <v>4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</v>
      </c>
      <c r="Q145" s="15">
        <v>1</v>
      </c>
    </row>
    <row r="146" spans="2:17" ht="30" x14ac:dyDescent="0.3">
      <c r="B146" s="11">
        <f t="shared" si="5"/>
        <v>140</v>
      </c>
      <c r="C146" s="14" t="s">
        <v>219</v>
      </c>
      <c r="D146" s="14" t="s">
        <v>117</v>
      </c>
      <c r="E146" s="14" t="s">
        <v>321</v>
      </c>
      <c r="F146" s="14" t="s">
        <v>186</v>
      </c>
      <c r="G146" s="13">
        <v>45614</v>
      </c>
      <c r="H146" s="13">
        <v>45616</v>
      </c>
      <c r="I146" s="14">
        <f t="shared" si="6"/>
        <v>3</v>
      </c>
      <c r="J146" s="15">
        <v>0</v>
      </c>
      <c r="K146" s="15">
        <v>0</v>
      </c>
      <c r="L146" s="15">
        <v>0</v>
      </c>
      <c r="M146" s="15">
        <v>36</v>
      </c>
      <c r="N146" s="15">
        <v>0</v>
      </c>
      <c r="O146" s="15">
        <v>0</v>
      </c>
      <c r="P146" s="15">
        <v>0</v>
      </c>
      <c r="Q146" s="15">
        <v>36</v>
      </c>
    </row>
    <row r="147" spans="2:17" ht="30" x14ac:dyDescent="0.3">
      <c r="B147" s="11">
        <f t="shared" si="5"/>
        <v>141</v>
      </c>
      <c r="C147" s="14" t="s">
        <v>219</v>
      </c>
      <c r="D147" s="14" t="s">
        <v>117</v>
      </c>
      <c r="E147" s="14" t="s">
        <v>321</v>
      </c>
      <c r="F147" s="14" t="s">
        <v>186</v>
      </c>
      <c r="G147" s="13">
        <v>45621</v>
      </c>
      <c r="H147" s="13">
        <v>45623</v>
      </c>
      <c r="I147" s="14">
        <f t="shared" si="6"/>
        <v>3</v>
      </c>
      <c r="J147" s="15">
        <v>0</v>
      </c>
      <c r="K147" s="15">
        <v>0</v>
      </c>
      <c r="L147" s="15">
        <v>0</v>
      </c>
      <c r="M147" s="15">
        <v>38</v>
      </c>
      <c r="N147" s="15">
        <v>0</v>
      </c>
      <c r="O147" s="15">
        <v>0</v>
      </c>
      <c r="P147" s="15">
        <v>0</v>
      </c>
      <c r="Q147" s="15">
        <v>38</v>
      </c>
    </row>
    <row r="148" spans="2:17" ht="30" x14ac:dyDescent="0.3">
      <c r="B148" s="11">
        <f t="shared" si="5"/>
        <v>142</v>
      </c>
      <c r="C148" s="14" t="s">
        <v>220</v>
      </c>
      <c r="D148" s="14" t="s">
        <v>46</v>
      </c>
      <c r="E148" s="14" t="s">
        <v>321</v>
      </c>
      <c r="F148" s="14" t="s">
        <v>23</v>
      </c>
      <c r="G148" s="13">
        <v>45607</v>
      </c>
      <c r="H148" s="13">
        <v>45609</v>
      </c>
      <c r="I148" s="14">
        <f t="shared" si="6"/>
        <v>3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30</v>
      </c>
      <c r="Q148" s="15">
        <v>30</v>
      </c>
    </row>
    <row r="149" spans="2:17" ht="30" x14ac:dyDescent="0.3">
      <c r="B149" s="11">
        <f t="shared" si="5"/>
        <v>143</v>
      </c>
      <c r="C149" s="14" t="s">
        <v>221</v>
      </c>
      <c r="D149" s="14" t="s">
        <v>46</v>
      </c>
      <c r="E149" s="14" t="s">
        <v>321</v>
      </c>
      <c r="F149" s="14" t="s">
        <v>23</v>
      </c>
      <c r="G149" s="13">
        <v>45614</v>
      </c>
      <c r="H149" s="13">
        <v>45616</v>
      </c>
      <c r="I149" s="14">
        <f t="shared" si="6"/>
        <v>3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30</v>
      </c>
      <c r="Q149" s="15">
        <v>30</v>
      </c>
    </row>
    <row r="150" spans="2:17" ht="30" x14ac:dyDescent="0.3">
      <c r="B150" s="11">
        <f t="shared" si="5"/>
        <v>144</v>
      </c>
      <c r="C150" s="14" t="s">
        <v>222</v>
      </c>
      <c r="D150" s="14" t="s">
        <v>46</v>
      </c>
      <c r="E150" s="14" t="s">
        <v>321</v>
      </c>
      <c r="F150" s="14" t="s">
        <v>23</v>
      </c>
      <c r="G150" s="13">
        <v>45621</v>
      </c>
      <c r="H150" s="13">
        <v>45623</v>
      </c>
      <c r="I150" s="14">
        <f t="shared" si="6"/>
        <v>3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29</v>
      </c>
      <c r="Q150" s="15">
        <v>29</v>
      </c>
    </row>
    <row r="151" spans="2:17" ht="30" x14ac:dyDescent="0.3">
      <c r="B151" s="11">
        <f t="shared" si="5"/>
        <v>145</v>
      </c>
      <c r="C151" s="12" t="s">
        <v>223</v>
      </c>
      <c r="D151" s="12" t="s">
        <v>224</v>
      </c>
      <c r="E151" s="12" t="s">
        <v>321</v>
      </c>
      <c r="F151" s="12" t="s">
        <v>23</v>
      </c>
      <c r="G151" s="16">
        <v>45615</v>
      </c>
      <c r="H151" s="16">
        <v>45616</v>
      </c>
      <c r="I151" s="14">
        <f t="shared" si="6"/>
        <v>2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2</v>
      </c>
      <c r="Q151" s="15">
        <v>2</v>
      </c>
    </row>
    <row r="152" spans="2:17" ht="30" x14ac:dyDescent="0.3">
      <c r="B152" s="11">
        <f t="shared" si="5"/>
        <v>146</v>
      </c>
      <c r="C152" s="12" t="s">
        <v>225</v>
      </c>
      <c r="D152" s="12" t="s">
        <v>41</v>
      </c>
      <c r="E152" s="12" t="s">
        <v>321</v>
      </c>
      <c r="F152" s="12" t="s">
        <v>23</v>
      </c>
      <c r="G152" s="16">
        <v>45616</v>
      </c>
      <c r="H152" s="16">
        <v>45618</v>
      </c>
      <c r="I152" s="14">
        <f t="shared" si="6"/>
        <v>3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</row>
    <row r="153" spans="2:17" ht="45" x14ac:dyDescent="0.3">
      <c r="B153" s="11">
        <f t="shared" si="5"/>
        <v>147</v>
      </c>
      <c r="C153" s="12" t="s">
        <v>226</v>
      </c>
      <c r="D153" s="12" t="s">
        <v>104</v>
      </c>
      <c r="E153" s="12" t="s">
        <v>321</v>
      </c>
      <c r="F153" s="12" t="s">
        <v>79</v>
      </c>
      <c r="G153" s="16">
        <v>45621</v>
      </c>
      <c r="H153" s="16">
        <v>45622</v>
      </c>
      <c r="I153" s="14">
        <f t="shared" si="6"/>
        <v>2</v>
      </c>
      <c r="J153" s="15">
        <v>0</v>
      </c>
      <c r="K153" s="15">
        <v>0</v>
      </c>
      <c r="L153" s="15">
        <v>1</v>
      </c>
      <c r="M153" s="15">
        <v>0</v>
      </c>
      <c r="N153" s="15">
        <v>0</v>
      </c>
      <c r="O153" s="15">
        <v>0</v>
      </c>
      <c r="P153" s="15">
        <v>0</v>
      </c>
      <c r="Q153" s="15">
        <v>1</v>
      </c>
    </row>
    <row r="154" spans="2:17" ht="45" x14ac:dyDescent="0.3">
      <c r="B154" s="11">
        <f t="shared" si="5"/>
        <v>148</v>
      </c>
      <c r="C154" s="12" t="s">
        <v>168</v>
      </c>
      <c r="D154" s="12" t="s">
        <v>169</v>
      </c>
      <c r="E154" s="12" t="s">
        <v>321</v>
      </c>
      <c r="F154" s="12" t="s">
        <v>64</v>
      </c>
      <c r="G154" s="16">
        <v>45532</v>
      </c>
      <c r="H154" s="16">
        <v>45533</v>
      </c>
      <c r="I154" s="14">
        <f t="shared" si="6"/>
        <v>2</v>
      </c>
      <c r="J154" s="15">
        <v>0</v>
      </c>
      <c r="K154" s="15">
        <v>0</v>
      </c>
      <c r="L154" s="15">
        <v>3</v>
      </c>
      <c r="M154" s="15">
        <v>0</v>
      </c>
      <c r="N154" s="15">
        <v>0</v>
      </c>
      <c r="O154" s="15">
        <v>0</v>
      </c>
      <c r="P154" s="15">
        <v>0</v>
      </c>
      <c r="Q154" s="15">
        <v>3</v>
      </c>
    </row>
    <row r="155" spans="2:17" ht="45" x14ac:dyDescent="0.3">
      <c r="B155" s="11">
        <f t="shared" si="5"/>
        <v>149</v>
      </c>
      <c r="C155" s="12" t="s">
        <v>174</v>
      </c>
      <c r="D155" s="12" t="s">
        <v>85</v>
      </c>
      <c r="E155" s="12" t="s">
        <v>321</v>
      </c>
      <c r="F155" s="12" t="s">
        <v>64</v>
      </c>
      <c r="G155" s="16">
        <v>45552</v>
      </c>
      <c r="H155" s="16">
        <v>45555</v>
      </c>
      <c r="I155" s="14">
        <f t="shared" si="6"/>
        <v>4</v>
      </c>
      <c r="J155" s="15">
        <v>0</v>
      </c>
      <c r="K155" s="15">
        <v>0</v>
      </c>
      <c r="L155" s="15">
        <v>2</v>
      </c>
      <c r="M155" s="15">
        <v>0</v>
      </c>
      <c r="N155" s="15">
        <v>0</v>
      </c>
      <c r="O155" s="15">
        <v>0</v>
      </c>
      <c r="P155" s="15">
        <v>0</v>
      </c>
      <c r="Q155" s="15">
        <v>2</v>
      </c>
    </row>
    <row r="156" spans="2:17" ht="30" x14ac:dyDescent="0.3">
      <c r="B156" s="11">
        <f t="shared" si="5"/>
        <v>150</v>
      </c>
      <c r="C156" s="12" t="s">
        <v>227</v>
      </c>
      <c r="D156" s="12" t="s">
        <v>110</v>
      </c>
      <c r="E156" s="12" t="s">
        <v>321</v>
      </c>
      <c r="F156" s="12" t="s">
        <v>24</v>
      </c>
      <c r="G156" s="16">
        <v>45625</v>
      </c>
      <c r="H156" s="16">
        <v>45625</v>
      </c>
      <c r="I156" s="14">
        <f t="shared" si="6"/>
        <v>1</v>
      </c>
      <c r="J156" s="15">
        <v>0</v>
      </c>
      <c r="K156" s="15">
        <v>0</v>
      </c>
      <c r="L156" s="15">
        <v>0</v>
      </c>
      <c r="M156" s="15">
        <v>11</v>
      </c>
      <c r="N156" s="15">
        <v>1</v>
      </c>
      <c r="O156" s="15">
        <v>0</v>
      </c>
      <c r="P156" s="15">
        <v>0</v>
      </c>
      <c r="Q156" s="15">
        <v>12</v>
      </c>
    </row>
    <row r="157" spans="2:17" ht="30" x14ac:dyDescent="0.3">
      <c r="B157" s="11">
        <f t="shared" si="5"/>
        <v>151</v>
      </c>
      <c r="C157" s="14" t="s">
        <v>228</v>
      </c>
      <c r="D157" s="14" t="s">
        <v>46</v>
      </c>
      <c r="E157" s="14" t="s">
        <v>321</v>
      </c>
      <c r="F157" s="14" t="s">
        <v>23</v>
      </c>
      <c r="G157" s="13">
        <v>45628</v>
      </c>
      <c r="H157" s="13">
        <v>45630</v>
      </c>
      <c r="I157" s="14">
        <f t="shared" si="6"/>
        <v>3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28</v>
      </c>
      <c r="Q157" s="15">
        <v>28</v>
      </c>
    </row>
    <row r="158" spans="2:17" ht="30" x14ac:dyDescent="0.3">
      <c r="B158" s="11">
        <f>IF(C158="","",B157+1)</f>
        <v>152</v>
      </c>
      <c r="C158" s="14" t="s">
        <v>229</v>
      </c>
      <c r="D158" s="14" t="s">
        <v>46</v>
      </c>
      <c r="E158" s="14" t="s">
        <v>321</v>
      </c>
      <c r="F158" s="14" t="s">
        <v>23</v>
      </c>
      <c r="G158" s="13">
        <v>45635</v>
      </c>
      <c r="H158" s="13">
        <v>45637</v>
      </c>
      <c r="I158" s="14">
        <f>IF(G158="","",H158-G158+1)</f>
        <v>3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29</v>
      </c>
      <c r="Q158" s="15">
        <v>29</v>
      </c>
    </row>
    <row r="159" spans="2:17" ht="45" x14ac:dyDescent="0.3">
      <c r="B159" s="11">
        <f>IF(C159="","",B158+1)</f>
        <v>153</v>
      </c>
      <c r="C159" s="12" t="s">
        <v>230</v>
      </c>
      <c r="D159" s="12" t="s">
        <v>231</v>
      </c>
      <c r="E159" s="12" t="s">
        <v>321</v>
      </c>
      <c r="F159" s="12" t="s">
        <v>23</v>
      </c>
      <c r="G159" s="16">
        <v>45638</v>
      </c>
      <c r="H159" s="16">
        <v>45639</v>
      </c>
      <c r="I159" s="14">
        <f>IF(G159="","",H159-G159+1)</f>
        <v>2</v>
      </c>
      <c r="J159" s="15">
        <v>0</v>
      </c>
      <c r="K159" s="15">
        <v>0</v>
      </c>
      <c r="L159" s="15">
        <v>6</v>
      </c>
      <c r="M159" s="15">
        <v>0</v>
      </c>
      <c r="N159" s="15">
        <v>0</v>
      </c>
      <c r="O159" s="15">
        <v>0</v>
      </c>
      <c r="P159" s="15">
        <v>2</v>
      </c>
      <c r="Q159" s="15">
        <v>8</v>
      </c>
    </row>
    <row r="160" spans="2:17" ht="45" x14ac:dyDescent="0.3">
      <c r="B160" s="11">
        <f>IF(C160="","",B159+1)</f>
        <v>154</v>
      </c>
      <c r="C160" s="12" t="s">
        <v>232</v>
      </c>
      <c r="D160" s="12" t="s">
        <v>233</v>
      </c>
      <c r="E160" s="12" t="s">
        <v>321</v>
      </c>
      <c r="F160" s="12" t="s">
        <v>23</v>
      </c>
      <c r="G160" s="16">
        <v>45628</v>
      </c>
      <c r="H160" s="16">
        <v>45628</v>
      </c>
      <c r="I160" s="14">
        <f>IF(G160="","",H160-G160+1)</f>
        <v>1</v>
      </c>
      <c r="J160" s="15">
        <v>2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2</v>
      </c>
    </row>
    <row r="161" spans="2:17" ht="30" x14ac:dyDescent="0.3">
      <c r="B161" s="11">
        <f t="shared" si="5"/>
        <v>155</v>
      </c>
      <c r="C161" s="14" t="s">
        <v>219</v>
      </c>
      <c r="D161" s="14" t="s">
        <v>117</v>
      </c>
      <c r="E161" s="14" t="s">
        <v>321</v>
      </c>
      <c r="F161" s="14" t="s">
        <v>186</v>
      </c>
      <c r="G161" s="16">
        <v>45631</v>
      </c>
      <c r="H161" s="16">
        <v>45633</v>
      </c>
      <c r="I161" s="14">
        <f t="shared" ref="I161:I224" si="7">IF(G161="","",H161-G161+1)</f>
        <v>3</v>
      </c>
      <c r="J161" s="15">
        <v>0</v>
      </c>
      <c r="K161" s="15">
        <v>0</v>
      </c>
      <c r="L161" s="15">
        <v>0</v>
      </c>
      <c r="M161" s="15">
        <v>37</v>
      </c>
      <c r="N161" s="15">
        <v>0</v>
      </c>
      <c r="O161" s="15">
        <v>0</v>
      </c>
      <c r="P161" s="15">
        <v>0</v>
      </c>
      <c r="Q161" s="15">
        <v>37</v>
      </c>
    </row>
    <row r="162" spans="2:17" ht="30" x14ac:dyDescent="0.3">
      <c r="B162" s="11">
        <f t="shared" si="5"/>
        <v>156</v>
      </c>
      <c r="C162" s="14" t="s">
        <v>219</v>
      </c>
      <c r="D162" s="14" t="s">
        <v>117</v>
      </c>
      <c r="E162" s="14" t="s">
        <v>321</v>
      </c>
      <c r="F162" s="14" t="s">
        <v>186</v>
      </c>
      <c r="G162" s="16">
        <v>45637</v>
      </c>
      <c r="H162" s="16">
        <v>45639</v>
      </c>
      <c r="I162" s="14">
        <f t="shared" si="7"/>
        <v>3</v>
      </c>
      <c r="J162" s="15">
        <v>0</v>
      </c>
      <c r="K162" s="15">
        <v>0</v>
      </c>
      <c r="L162" s="15">
        <v>0</v>
      </c>
      <c r="M162" s="15">
        <v>46</v>
      </c>
      <c r="N162" s="15">
        <v>0</v>
      </c>
      <c r="O162" s="15">
        <v>0</v>
      </c>
      <c r="P162" s="15">
        <v>0</v>
      </c>
      <c r="Q162" s="15">
        <v>46</v>
      </c>
    </row>
    <row r="163" spans="2:17" ht="30" x14ac:dyDescent="0.3">
      <c r="B163" s="11">
        <f t="shared" si="5"/>
        <v>157</v>
      </c>
      <c r="C163" s="12" t="s">
        <v>234</v>
      </c>
      <c r="D163" s="12" t="s">
        <v>19</v>
      </c>
      <c r="E163" s="12" t="s">
        <v>321</v>
      </c>
      <c r="F163" s="12" t="s">
        <v>61</v>
      </c>
      <c r="G163" s="16">
        <v>45635</v>
      </c>
      <c r="H163" s="16">
        <v>45639</v>
      </c>
      <c r="I163" s="14">
        <f t="shared" si="7"/>
        <v>5</v>
      </c>
      <c r="J163" s="15">
        <v>0</v>
      </c>
      <c r="K163" s="15">
        <v>3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3</v>
      </c>
    </row>
    <row r="164" spans="2:17" ht="30" x14ac:dyDescent="0.3">
      <c r="B164" s="11">
        <f t="shared" si="5"/>
        <v>158</v>
      </c>
      <c r="C164" s="12" t="s">
        <v>235</v>
      </c>
      <c r="D164" s="12" t="s">
        <v>236</v>
      </c>
      <c r="E164" s="12" t="s">
        <v>321</v>
      </c>
      <c r="F164" s="12" t="s">
        <v>237</v>
      </c>
      <c r="G164" s="16">
        <v>45640</v>
      </c>
      <c r="H164" s="16">
        <v>45640</v>
      </c>
      <c r="I164" s="14">
        <f t="shared" si="7"/>
        <v>1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1</v>
      </c>
    </row>
    <row r="165" spans="2:17" ht="45" x14ac:dyDescent="0.3">
      <c r="B165" s="11">
        <f t="shared" si="5"/>
        <v>159</v>
      </c>
      <c r="C165" s="12" t="s">
        <v>238</v>
      </c>
      <c r="D165" s="14" t="s">
        <v>22</v>
      </c>
      <c r="E165" s="12" t="s">
        <v>321</v>
      </c>
      <c r="F165" s="12" t="s">
        <v>23</v>
      </c>
      <c r="G165" s="16">
        <v>45659</v>
      </c>
      <c r="H165" s="16">
        <v>45660</v>
      </c>
      <c r="I165" s="14">
        <f t="shared" si="7"/>
        <v>2</v>
      </c>
      <c r="J165" s="15">
        <v>0</v>
      </c>
      <c r="K165" s="15">
        <v>0</v>
      </c>
      <c r="L165" s="15">
        <v>0</v>
      </c>
      <c r="M165" s="15">
        <v>1</v>
      </c>
      <c r="N165" s="15">
        <v>2</v>
      </c>
      <c r="O165" s="15">
        <v>2</v>
      </c>
      <c r="P165" s="15">
        <v>0</v>
      </c>
      <c r="Q165" s="15">
        <v>5</v>
      </c>
    </row>
    <row r="166" spans="2:17" ht="45" x14ac:dyDescent="0.3">
      <c r="B166" s="11">
        <f t="shared" si="5"/>
        <v>160</v>
      </c>
      <c r="C166" s="12" t="s">
        <v>239</v>
      </c>
      <c r="D166" s="14" t="s">
        <v>22</v>
      </c>
      <c r="E166" s="12" t="s">
        <v>321</v>
      </c>
      <c r="F166" s="12" t="s">
        <v>23</v>
      </c>
      <c r="G166" s="16">
        <v>45666</v>
      </c>
      <c r="H166" s="16">
        <v>45667</v>
      </c>
      <c r="I166" s="14">
        <f t="shared" si="7"/>
        <v>2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1</v>
      </c>
      <c r="P166" s="15">
        <v>0</v>
      </c>
      <c r="Q166" s="15">
        <v>1</v>
      </c>
    </row>
    <row r="167" spans="2:17" ht="30" x14ac:dyDescent="0.3">
      <c r="B167" s="11">
        <f t="shared" si="5"/>
        <v>161</v>
      </c>
      <c r="C167" s="12" t="s">
        <v>240</v>
      </c>
      <c r="D167" s="12" t="s">
        <v>241</v>
      </c>
      <c r="E167" s="12" t="s">
        <v>321</v>
      </c>
      <c r="F167" s="12" t="s">
        <v>79</v>
      </c>
      <c r="G167" s="16">
        <v>45664</v>
      </c>
      <c r="H167" s="16">
        <v>45665</v>
      </c>
      <c r="I167" s="14">
        <f t="shared" si="7"/>
        <v>2</v>
      </c>
      <c r="J167" s="15">
        <v>4</v>
      </c>
      <c r="K167" s="15">
        <v>0</v>
      </c>
      <c r="L167" s="15">
        <v>1</v>
      </c>
      <c r="M167" s="15">
        <v>1</v>
      </c>
      <c r="N167" s="15">
        <v>6</v>
      </c>
      <c r="O167" s="15">
        <v>0</v>
      </c>
      <c r="P167" s="15">
        <v>2</v>
      </c>
      <c r="Q167" s="15">
        <v>14</v>
      </c>
    </row>
    <row r="168" spans="2:17" ht="30" x14ac:dyDescent="0.3">
      <c r="B168" s="11">
        <f t="shared" si="5"/>
        <v>162</v>
      </c>
      <c r="C168" s="12" t="s">
        <v>242</v>
      </c>
      <c r="D168" s="12" t="s">
        <v>19</v>
      </c>
      <c r="E168" s="12" t="s">
        <v>321</v>
      </c>
      <c r="F168" s="12" t="s">
        <v>44</v>
      </c>
      <c r="G168" s="16">
        <v>45663</v>
      </c>
      <c r="H168" s="16">
        <v>45668</v>
      </c>
      <c r="I168" s="14">
        <f t="shared" si="7"/>
        <v>6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5</v>
      </c>
      <c r="P168" s="15">
        <v>0</v>
      </c>
      <c r="Q168" s="15">
        <v>5</v>
      </c>
    </row>
    <row r="169" spans="2:17" ht="60" x14ac:dyDescent="0.3">
      <c r="B169" s="11">
        <f t="shared" si="5"/>
        <v>163</v>
      </c>
      <c r="C169" s="12" t="s">
        <v>243</v>
      </c>
      <c r="D169" s="14" t="s">
        <v>22</v>
      </c>
      <c r="E169" s="12" t="s">
        <v>321</v>
      </c>
      <c r="F169" s="12" t="s">
        <v>23</v>
      </c>
      <c r="G169" s="16">
        <v>45677</v>
      </c>
      <c r="H169" s="16">
        <v>45677</v>
      </c>
      <c r="I169" s="14">
        <f t="shared" si="7"/>
        <v>1</v>
      </c>
      <c r="J169" s="15">
        <v>0</v>
      </c>
      <c r="K169" s="15">
        <v>0</v>
      </c>
      <c r="L169" s="15">
        <v>3</v>
      </c>
      <c r="M169" s="15">
        <v>0</v>
      </c>
      <c r="N169" s="15">
        <v>0</v>
      </c>
      <c r="O169" s="15">
        <v>0</v>
      </c>
      <c r="P169" s="15">
        <v>0</v>
      </c>
      <c r="Q169" s="15">
        <v>3</v>
      </c>
    </row>
    <row r="170" spans="2:17" ht="30" x14ac:dyDescent="0.3">
      <c r="B170" s="11">
        <f t="shared" si="5"/>
        <v>164</v>
      </c>
      <c r="C170" s="12" t="s">
        <v>244</v>
      </c>
      <c r="D170" s="12" t="s">
        <v>38</v>
      </c>
      <c r="E170" s="12" t="s">
        <v>321</v>
      </c>
      <c r="F170" s="12" t="s">
        <v>23</v>
      </c>
      <c r="G170" s="16">
        <v>45678</v>
      </c>
      <c r="H170" s="16">
        <v>45679</v>
      </c>
      <c r="I170" s="14">
        <f t="shared" si="7"/>
        <v>2</v>
      </c>
      <c r="J170" s="15">
        <v>2</v>
      </c>
      <c r="K170" s="15">
        <v>0</v>
      </c>
      <c r="L170" s="15">
        <v>5</v>
      </c>
      <c r="M170" s="15">
        <v>0</v>
      </c>
      <c r="N170" s="15">
        <v>0</v>
      </c>
      <c r="O170" s="15">
        <v>0</v>
      </c>
      <c r="P170" s="15">
        <v>0</v>
      </c>
      <c r="Q170" s="15">
        <v>7</v>
      </c>
    </row>
    <row r="171" spans="2:17" ht="30" x14ac:dyDescent="0.3">
      <c r="B171" s="11">
        <f t="shared" si="5"/>
        <v>165</v>
      </c>
      <c r="C171" s="12" t="s">
        <v>245</v>
      </c>
      <c r="D171" s="12" t="s">
        <v>38</v>
      </c>
      <c r="E171" s="12" t="s">
        <v>321</v>
      </c>
      <c r="F171" s="12" t="s">
        <v>23</v>
      </c>
      <c r="G171" s="16">
        <v>45685</v>
      </c>
      <c r="H171" s="16">
        <v>45686</v>
      </c>
      <c r="I171" s="14">
        <f t="shared" si="7"/>
        <v>2</v>
      </c>
      <c r="J171" s="15">
        <v>0</v>
      </c>
      <c r="K171" s="15">
        <v>0</v>
      </c>
      <c r="L171" s="15">
        <v>4</v>
      </c>
      <c r="M171" s="15">
        <v>0</v>
      </c>
      <c r="N171" s="15">
        <v>0</v>
      </c>
      <c r="O171" s="15">
        <v>0</v>
      </c>
      <c r="P171" s="15">
        <v>0</v>
      </c>
      <c r="Q171" s="15">
        <v>4</v>
      </c>
    </row>
    <row r="172" spans="2:17" ht="45" x14ac:dyDescent="0.3">
      <c r="B172" s="11">
        <f t="shared" si="5"/>
        <v>166</v>
      </c>
      <c r="C172" s="12" t="s">
        <v>246</v>
      </c>
      <c r="D172" s="14" t="s">
        <v>22</v>
      </c>
      <c r="E172" s="12" t="s">
        <v>321</v>
      </c>
      <c r="F172" s="12" t="s">
        <v>23</v>
      </c>
      <c r="G172" s="16">
        <v>45687</v>
      </c>
      <c r="H172" s="16">
        <v>45688</v>
      </c>
      <c r="I172" s="14">
        <f t="shared" si="7"/>
        <v>2</v>
      </c>
      <c r="J172" s="15">
        <v>0</v>
      </c>
      <c r="K172" s="15">
        <v>2</v>
      </c>
      <c r="L172" s="15">
        <v>6</v>
      </c>
      <c r="M172" s="15">
        <v>0</v>
      </c>
      <c r="N172" s="15">
        <v>2</v>
      </c>
      <c r="O172" s="15">
        <v>0</v>
      </c>
      <c r="P172" s="15">
        <v>0</v>
      </c>
      <c r="Q172" s="15">
        <v>10</v>
      </c>
    </row>
    <row r="173" spans="2:17" ht="45" x14ac:dyDescent="0.3">
      <c r="B173" s="11">
        <f t="shared" si="5"/>
        <v>167</v>
      </c>
      <c r="C173" s="12" t="s">
        <v>247</v>
      </c>
      <c r="D173" s="12" t="s">
        <v>19</v>
      </c>
      <c r="E173" s="12" t="s">
        <v>321</v>
      </c>
      <c r="F173" s="12" t="s">
        <v>61</v>
      </c>
      <c r="G173" s="16">
        <v>45663</v>
      </c>
      <c r="H173" s="16">
        <v>45737</v>
      </c>
      <c r="I173" s="14">
        <f t="shared" si="7"/>
        <v>75</v>
      </c>
      <c r="J173" s="15">
        <v>0</v>
      </c>
      <c r="K173" s="15">
        <v>3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3</v>
      </c>
    </row>
    <row r="174" spans="2:17" ht="30" x14ac:dyDescent="0.3">
      <c r="B174" s="11">
        <f t="shared" si="5"/>
        <v>168</v>
      </c>
      <c r="C174" s="12" t="s">
        <v>248</v>
      </c>
      <c r="D174" s="12" t="s">
        <v>249</v>
      </c>
      <c r="E174" s="12" t="s">
        <v>321</v>
      </c>
      <c r="F174" s="12" t="s">
        <v>24</v>
      </c>
      <c r="G174" s="16">
        <v>45665</v>
      </c>
      <c r="H174" s="16">
        <v>45665</v>
      </c>
      <c r="I174" s="14">
        <f t="shared" si="7"/>
        <v>1</v>
      </c>
      <c r="J174" s="15">
        <v>4</v>
      </c>
      <c r="K174" s="15">
        <v>7</v>
      </c>
      <c r="L174" s="15">
        <v>2</v>
      </c>
      <c r="M174" s="15">
        <v>2</v>
      </c>
      <c r="N174" s="15">
        <v>0</v>
      </c>
      <c r="O174" s="15">
        <v>0</v>
      </c>
      <c r="P174" s="15">
        <v>0</v>
      </c>
      <c r="Q174" s="15">
        <v>15</v>
      </c>
    </row>
    <row r="175" spans="2:17" ht="45" x14ac:dyDescent="0.3">
      <c r="B175" s="11">
        <f t="shared" si="5"/>
        <v>169</v>
      </c>
      <c r="C175" s="12" t="s">
        <v>250</v>
      </c>
      <c r="D175" s="12" t="s">
        <v>112</v>
      </c>
      <c r="E175" s="12" t="s">
        <v>321</v>
      </c>
      <c r="F175" s="12" t="s">
        <v>113</v>
      </c>
      <c r="G175" s="16">
        <v>45665</v>
      </c>
      <c r="H175" s="16">
        <v>45668</v>
      </c>
      <c r="I175" s="14">
        <f t="shared" si="7"/>
        <v>4</v>
      </c>
      <c r="J175" s="15">
        <v>0</v>
      </c>
      <c r="K175" s="15">
        <v>0</v>
      </c>
      <c r="L175" s="15">
        <v>0</v>
      </c>
      <c r="M175" s="15">
        <v>1</v>
      </c>
      <c r="N175" s="15">
        <v>0</v>
      </c>
      <c r="O175" s="15">
        <v>0</v>
      </c>
      <c r="P175" s="15">
        <v>0</v>
      </c>
      <c r="Q175" s="15">
        <v>1</v>
      </c>
    </row>
    <row r="176" spans="2:17" ht="30" x14ac:dyDescent="0.3">
      <c r="B176" s="11">
        <f t="shared" si="5"/>
        <v>170</v>
      </c>
      <c r="C176" s="12" t="s">
        <v>251</v>
      </c>
      <c r="D176" s="12" t="s">
        <v>110</v>
      </c>
      <c r="E176" s="12" t="s">
        <v>321</v>
      </c>
      <c r="F176" s="12" t="s">
        <v>24</v>
      </c>
      <c r="G176" s="16">
        <v>45666</v>
      </c>
      <c r="H176" s="16">
        <v>45667</v>
      </c>
      <c r="I176" s="14">
        <f t="shared" si="7"/>
        <v>2</v>
      </c>
      <c r="J176" s="15">
        <v>0</v>
      </c>
      <c r="K176" s="15">
        <v>0</v>
      </c>
      <c r="L176" s="15">
        <v>0</v>
      </c>
      <c r="M176" s="15">
        <v>1</v>
      </c>
      <c r="N176" s="15">
        <v>0</v>
      </c>
      <c r="O176" s="15">
        <v>0</v>
      </c>
      <c r="P176" s="15">
        <v>2</v>
      </c>
      <c r="Q176" s="15">
        <v>3</v>
      </c>
    </row>
    <row r="177" spans="2:17" ht="60" x14ac:dyDescent="0.3">
      <c r="B177" s="11">
        <f t="shared" si="5"/>
        <v>171</v>
      </c>
      <c r="C177" s="12" t="s">
        <v>252</v>
      </c>
      <c r="D177" s="12" t="s">
        <v>85</v>
      </c>
      <c r="E177" s="12" t="s">
        <v>321</v>
      </c>
      <c r="F177" s="12" t="s">
        <v>64</v>
      </c>
      <c r="G177" s="16"/>
      <c r="H177" s="16"/>
      <c r="I177" s="14" t="str">
        <f t="shared" si="7"/>
        <v/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</row>
    <row r="178" spans="2:17" ht="24" customHeight="1" x14ac:dyDescent="0.3">
      <c r="B178" s="11">
        <f t="shared" si="5"/>
        <v>172</v>
      </c>
      <c r="C178" s="12" t="s">
        <v>253</v>
      </c>
      <c r="D178" s="12" t="s">
        <v>254</v>
      </c>
      <c r="E178" s="12" t="s">
        <v>321</v>
      </c>
      <c r="F178" s="12" t="s">
        <v>30</v>
      </c>
      <c r="G178" s="16">
        <v>45684</v>
      </c>
      <c r="H178" s="16">
        <v>45689</v>
      </c>
      <c r="I178" s="14">
        <f t="shared" si="7"/>
        <v>6</v>
      </c>
      <c r="J178" s="15">
        <v>1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</row>
    <row r="179" spans="2:17" ht="38.25" customHeight="1" x14ac:dyDescent="0.3">
      <c r="B179" s="11">
        <f t="shared" si="5"/>
        <v>173</v>
      </c>
      <c r="C179" s="12" t="s">
        <v>255</v>
      </c>
      <c r="D179" s="12" t="s">
        <v>256</v>
      </c>
      <c r="E179" s="12" t="s">
        <v>321</v>
      </c>
      <c r="F179" s="12" t="s">
        <v>79</v>
      </c>
      <c r="G179" s="16">
        <v>45666</v>
      </c>
      <c r="H179" s="16">
        <v>45667</v>
      </c>
      <c r="I179" s="14">
        <f t="shared" si="7"/>
        <v>2</v>
      </c>
      <c r="J179" s="15">
        <v>0</v>
      </c>
      <c r="K179" s="15">
        <v>0</v>
      </c>
      <c r="L179" s="15">
        <v>8</v>
      </c>
      <c r="M179" s="15">
        <v>0</v>
      </c>
      <c r="N179" s="15">
        <v>0</v>
      </c>
      <c r="O179" s="15">
        <v>0</v>
      </c>
      <c r="P179" s="15">
        <v>0</v>
      </c>
      <c r="Q179" s="15">
        <v>8</v>
      </c>
    </row>
    <row r="180" spans="2:17" ht="25.5" customHeight="1" x14ac:dyDescent="0.3">
      <c r="B180" s="11">
        <f t="shared" si="5"/>
        <v>174</v>
      </c>
      <c r="C180" s="21" t="s">
        <v>257</v>
      </c>
      <c r="D180" s="21" t="s">
        <v>165</v>
      </c>
      <c r="E180" s="21" t="s">
        <v>321</v>
      </c>
      <c r="F180" s="21" t="s">
        <v>24</v>
      </c>
      <c r="G180" s="20">
        <v>45652</v>
      </c>
      <c r="H180" s="20">
        <v>45652</v>
      </c>
      <c r="I180" s="14">
        <f t="shared" si="7"/>
        <v>1</v>
      </c>
      <c r="J180" s="15">
        <v>0</v>
      </c>
      <c r="K180" s="15">
        <v>0</v>
      </c>
      <c r="L180" s="15">
        <v>7</v>
      </c>
      <c r="M180" s="15">
        <v>0</v>
      </c>
      <c r="N180" s="15">
        <v>0</v>
      </c>
      <c r="O180" s="15">
        <v>0</v>
      </c>
      <c r="P180" s="15">
        <v>0</v>
      </c>
      <c r="Q180" s="15">
        <v>7</v>
      </c>
    </row>
    <row r="181" spans="2:17" ht="38.25" customHeight="1" x14ac:dyDescent="0.25">
      <c r="B181" s="11">
        <f t="shared" si="5"/>
        <v>175</v>
      </c>
      <c r="C181" s="25" t="s">
        <v>258</v>
      </c>
      <c r="D181" s="21" t="s">
        <v>259</v>
      </c>
      <c r="E181" s="21" t="s">
        <v>321</v>
      </c>
      <c r="F181" s="21" t="s">
        <v>23</v>
      </c>
      <c r="G181" s="20">
        <v>45681</v>
      </c>
      <c r="H181" s="20">
        <v>45681</v>
      </c>
      <c r="I181" s="14">
        <f t="shared" si="7"/>
        <v>1</v>
      </c>
      <c r="J181" s="15">
        <v>0</v>
      </c>
      <c r="K181" s="15">
        <v>2</v>
      </c>
      <c r="L181" s="15">
        <v>0</v>
      </c>
      <c r="M181" s="15">
        <v>0</v>
      </c>
      <c r="N181" s="15">
        <v>2</v>
      </c>
      <c r="O181" s="15">
        <v>0</v>
      </c>
      <c r="P181" s="15">
        <v>1</v>
      </c>
      <c r="Q181" s="15">
        <v>5</v>
      </c>
    </row>
    <row r="182" spans="2:17" ht="25.5" customHeight="1" x14ac:dyDescent="0.3">
      <c r="B182" s="11">
        <f t="shared" si="5"/>
        <v>176</v>
      </c>
      <c r="C182" s="21" t="s">
        <v>260</v>
      </c>
      <c r="D182" s="21" t="s">
        <v>199</v>
      </c>
      <c r="E182" s="21" t="s">
        <v>321</v>
      </c>
      <c r="F182" s="21" t="s">
        <v>50</v>
      </c>
      <c r="G182" s="20">
        <v>45677</v>
      </c>
      <c r="H182" s="20">
        <v>45678</v>
      </c>
      <c r="I182" s="14">
        <f t="shared" si="7"/>
        <v>2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1</v>
      </c>
      <c r="Q182" s="15">
        <v>1</v>
      </c>
    </row>
    <row r="183" spans="2:17" ht="25.5" customHeight="1" x14ac:dyDescent="0.3">
      <c r="B183" s="11">
        <f t="shared" si="5"/>
        <v>177</v>
      </c>
      <c r="C183" s="21" t="s">
        <v>261</v>
      </c>
      <c r="D183" s="12" t="s">
        <v>63</v>
      </c>
      <c r="E183" s="21" t="s">
        <v>321</v>
      </c>
      <c r="F183" s="21" t="s">
        <v>64</v>
      </c>
      <c r="G183" s="20">
        <v>45685</v>
      </c>
      <c r="H183" s="20">
        <v>45688</v>
      </c>
      <c r="I183" s="14">
        <f t="shared" si="7"/>
        <v>4</v>
      </c>
      <c r="J183" s="15">
        <v>0</v>
      </c>
      <c r="K183" s="15">
        <v>0</v>
      </c>
      <c r="L183" s="15">
        <v>0</v>
      </c>
      <c r="M183" s="15">
        <v>3</v>
      </c>
      <c r="N183" s="15">
        <v>0</v>
      </c>
      <c r="O183" s="15">
        <v>0</v>
      </c>
      <c r="P183" s="15">
        <v>0</v>
      </c>
      <c r="Q183" s="15">
        <v>3</v>
      </c>
    </row>
    <row r="184" spans="2:17" ht="14.25" customHeight="1" x14ac:dyDescent="0.3">
      <c r="B184" s="11">
        <f t="shared" si="5"/>
        <v>178</v>
      </c>
      <c r="C184" s="21" t="s">
        <v>262</v>
      </c>
      <c r="D184" s="21" t="s">
        <v>117</v>
      </c>
      <c r="E184" s="21" t="s">
        <v>321</v>
      </c>
      <c r="F184" s="21" t="s">
        <v>118</v>
      </c>
      <c r="G184" s="20">
        <v>45684</v>
      </c>
      <c r="H184" s="20">
        <v>45686</v>
      </c>
      <c r="I184" s="14">
        <f t="shared" si="7"/>
        <v>3</v>
      </c>
      <c r="J184" s="15">
        <v>0</v>
      </c>
      <c r="K184" s="15">
        <v>0</v>
      </c>
      <c r="L184" s="15">
        <v>6</v>
      </c>
      <c r="M184" s="15">
        <v>9</v>
      </c>
      <c r="N184" s="15">
        <v>0</v>
      </c>
      <c r="O184" s="15">
        <v>0</v>
      </c>
      <c r="P184" s="15">
        <v>0</v>
      </c>
      <c r="Q184" s="15">
        <v>15</v>
      </c>
    </row>
    <row r="185" spans="2:17" ht="25.5" customHeight="1" x14ac:dyDescent="0.3">
      <c r="B185" s="11">
        <f t="shared" si="5"/>
        <v>179</v>
      </c>
      <c r="C185" s="21" t="s">
        <v>263</v>
      </c>
      <c r="D185" s="21" t="s">
        <v>264</v>
      </c>
      <c r="E185" s="21" t="s">
        <v>321</v>
      </c>
      <c r="F185" s="21" t="s">
        <v>64</v>
      </c>
      <c r="G185" s="20">
        <v>45677</v>
      </c>
      <c r="H185" s="20">
        <v>45680</v>
      </c>
      <c r="I185" s="14">
        <f t="shared" si="7"/>
        <v>4</v>
      </c>
      <c r="J185" s="15">
        <v>0</v>
      </c>
      <c r="K185" s="15">
        <v>0</v>
      </c>
      <c r="L185" s="15">
        <v>1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</row>
    <row r="186" spans="2:17" ht="14.25" customHeight="1" x14ac:dyDescent="0.3">
      <c r="B186" s="11">
        <f t="shared" si="5"/>
        <v>180</v>
      </c>
      <c r="C186" s="21" t="s">
        <v>265</v>
      </c>
      <c r="D186" s="21" t="s">
        <v>266</v>
      </c>
      <c r="E186" s="21" t="s">
        <v>321</v>
      </c>
      <c r="F186" s="21" t="s">
        <v>23</v>
      </c>
      <c r="G186" s="20">
        <v>45687</v>
      </c>
      <c r="H186" s="20">
        <v>45687</v>
      </c>
      <c r="I186" s="14">
        <f t="shared" si="7"/>
        <v>1</v>
      </c>
      <c r="J186" s="15">
        <v>0</v>
      </c>
      <c r="K186" s="15">
        <v>0</v>
      </c>
      <c r="L186" s="15">
        <v>0</v>
      </c>
      <c r="M186" s="15">
        <v>1</v>
      </c>
      <c r="N186" s="15">
        <v>0</v>
      </c>
      <c r="O186" s="15">
        <v>0</v>
      </c>
      <c r="P186" s="15">
        <v>1</v>
      </c>
      <c r="Q186" s="15">
        <v>2</v>
      </c>
    </row>
    <row r="187" spans="2:17" ht="25.5" customHeight="1" x14ac:dyDescent="0.3">
      <c r="B187" s="11">
        <f t="shared" si="5"/>
        <v>181</v>
      </c>
      <c r="C187" s="21" t="s">
        <v>267</v>
      </c>
      <c r="D187" s="21" t="s">
        <v>268</v>
      </c>
      <c r="E187" s="21" t="s">
        <v>321</v>
      </c>
      <c r="F187" s="21" t="s">
        <v>128</v>
      </c>
      <c r="G187" s="20">
        <v>45680</v>
      </c>
      <c r="H187" s="20">
        <v>45680</v>
      </c>
      <c r="I187" s="14">
        <f t="shared" si="7"/>
        <v>1</v>
      </c>
      <c r="J187" s="15">
        <v>0</v>
      </c>
      <c r="K187" s="15">
        <v>0</v>
      </c>
      <c r="L187" s="15">
        <v>0</v>
      </c>
      <c r="M187" s="15">
        <v>0</v>
      </c>
      <c r="N187" s="15">
        <v>1</v>
      </c>
      <c r="O187" s="15">
        <v>0</v>
      </c>
      <c r="P187" s="15">
        <v>1</v>
      </c>
      <c r="Q187" s="15">
        <v>2</v>
      </c>
    </row>
    <row r="188" spans="2:17" ht="28.5" customHeight="1" x14ac:dyDescent="0.3">
      <c r="B188" s="11">
        <f t="shared" si="5"/>
        <v>182</v>
      </c>
      <c r="C188" s="14" t="s">
        <v>269</v>
      </c>
      <c r="D188" s="14" t="s">
        <v>270</v>
      </c>
      <c r="E188" s="14" t="s">
        <v>321</v>
      </c>
      <c r="F188" s="14" t="s">
        <v>50</v>
      </c>
      <c r="G188" s="13">
        <v>45684</v>
      </c>
      <c r="H188" s="13">
        <v>45689</v>
      </c>
      <c r="I188" s="14">
        <f t="shared" si="7"/>
        <v>6</v>
      </c>
      <c r="J188" s="15">
        <v>0</v>
      </c>
      <c r="K188" s="15">
        <v>0</v>
      </c>
      <c r="L188" s="15">
        <v>0</v>
      </c>
      <c r="M188" s="15">
        <v>18</v>
      </c>
      <c r="N188" s="15">
        <v>2</v>
      </c>
      <c r="O188" s="15">
        <v>10</v>
      </c>
      <c r="P188" s="15">
        <v>0</v>
      </c>
      <c r="Q188" s="15">
        <v>30</v>
      </c>
    </row>
    <row r="189" spans="2:17" ht="28.5" customHeight="1" x14ac:dyDescent="0.3">
      <c r="B189" s="11">
        <f t="shared" si="5"/>
        <v>183</v>
      </c>
      <c r="C189" s="14" t="s">
        <v>219</v>
      </c>
      <c r="D189" s="14" t="s">
        <v>117</v>
      </c>
      <c r="E189" s="14" t="s">
        <v>321</v>
      </c>
      <c r="F189" s="14" t="s">
        <v>186</v>
      </c>
      <c r="G189" s="13">
        <v>45679</v>
      </c>
      <c r="H189" s="13">
        <v>45681</v>
      </c>
      <c r="I189" s="14">
        <f t="shared" si="7"/>
        <v>3</v>
      </c>
      <c r="J189" s="15">
        <v>0</v>
      </c>
      <c r="K189" s="15">
        <v>0</v>
      </c>
      <c r="L189" s="15">
        <v>0</v>
      </c>
      <c r="M189" s="15">
        <v>45</v>
      </c>
      <c r="N189" s="15">
        <v>0</v>
      </c>
      <c r="O189" s="15">
        <v>0</v>
      </c>
      <c r="P189" s="15">
        <v>0</v>
      </c>
      <c r="Q189" s="15">
        <v>45</v>
      </c>
    </row>
    <row r="190" spans="2:17" ht="28.5" customHeight="1" x14ac:dyDescent="0.3">
      <c r="B190" s="11">
        <f t="shared" si="5"/>
        <v>184</v>
      </c>
      <c r="C190" s="14" t="s">
        <v>271</v>
      </c>
      <c r="D190" s="14" t="s">
        <v>272</v>
      </c>
      <c r="E190" s="14" t="s">
        <v>321</v>
      </c>
      <c r="F190" s="14" t="s">
        <v>24</v>
      </c>
      <c r="G190" s="13">
        <v>45680</v>
      </c>
      <c r="H190" s="13">
        <v>45680</v>
      </c>
      <c r="I190" s="14">
        <f t="shared" si="7"/>
        <v>1</v>
      </c>
      <c r="J190" s="15">
        <v>4</v>
      </c>
      <c r="K190" s="15">
        <v>7</v>
      </c>
      <c r="L190" s="15">
        <v>5</v>
      </c>
      <c r="M190" s="15">
        <v>3</v>
      </c>
      <c r="N190" s="15">
        <v>4</v>
      </c>
      <c r="O190" s="15">
        <v>5</v>
      </c>
      <c r="P190" s="15">
        <v>3</v>
      </c>
      <c r="Q190" s="15">
        <v>31</v>
      </c>
    </row>
    <row r="191" spans="2:17" ht="28.5" customHeight="1" x14ac:dyDescent="0.3">
      <c r="B191" s="11">
        <f>IF(C191="","",B190+1)</f>
        <v>185</v>
      </c>
      <c r="C191" s="14" t="s">
        <v>273</v>
      </c>
      <c r="D191" s="14" t="s">
        <v>272</v>
      </c>
      <c r="E191" s="14" t="s">
        <v>321</v>
      </c>
      <c r="F191" s="14" t="s">
        <v>24</v>
      </c>
      <c r="G191" s="13">
        <v>45680</v>
      </c>
      <c r="H191" s="13">
        <v>45680</v>
      </c>
      <c r="I191" s="14">
        <f t="shared" si="7"/>
        <v>1</v>
      </c>
      <c r="J191" s="15">
        <v>4</v>
      </c>
      <c r="K191" s="15">
        <v>6</v>
      </c>
      <c r="L191" s="15">
        <v>11</v>
      </c>
      <c r="M191" s="15">
        <v>4</v>
      </c>
      <c r="N191" s="15">
        <v>2</v>
      </c>
      <c r="O191" s="15">
        <v>5</v>
      </c>
      <c r="P191" s="15">
        <v>4</v>
      </c>
      <c r="Q191" s="15">
        <v>36</v>
      </c>
    </row>
    <row r="192" spans="2:17" ht="28.5" customHeight="1" x14ac:dyDescent="0.3">
      <c r="B192" s="11">
        <f t="shared" si="5"/>
        <v>186</v>
      </c>
      <c r="C192" s="14" t="s">
        <v>219</v>
      </c>
      <c r="D192" s="14" t="s">
        <v>117</v>
      </c>
      <c r="E192" s="14" t="s">
        <v>321</v>
      </c>
      <c r="F192" s="14" t="s">
        <v>186</v>
      </c>
      <c r="G192" s="13">
        <v>45663</v>
      </c>
      <c r="H192" s="13">
        <v>45665</v>
      </c>
      <c r="I192" s="14">
        <f t="shared" si="7"/>
        <v>3</v>
      </c>
      <c r="J192" s="15">
        <v>0</v>
      </c>
      <c r="K192" s="15">
        <v>0</v>
      </c>
      <c r="L192" s="15">
        <v>0</v>
      </c>
      <c r="M192" s="15">
        <v>44</v>
      </c>
      <c r="N192" s="15">
        <v>0</v>
      </c>
      <c r="O192" s="15">
        <v>0</v>
      </c>
      <c r="P192" s="15">
        <v>0</v>
      </c>
      <c r="Q192" s="15">
        <v>44</v>
      </c>
    </row>
    <row r="193" spans="2:17" ht="28.5" customHeight="1" x14ac:dyDescent="0.3">
      <c r="B193" s="11">
        <f t="shared" si="5"/>
        <v>187</v>
      </c>
      <c r="C193" s="14" t="s">
        <v>274</v>
      </c>
      <c r="D193" s="14" t="s">
        <v>46</v>
      </c>
      <c r="E193" s="14" t="s">
        <v>321</v>
      </c>
      <c r="F193" s="14" t="s">
        <v>23</v>
      </c>
      <c r="G193" s="13">
        <v>45719</v>
      </c>
      <c r="H193" s="13">
        <v>45721</v>
      </c>
      <c r="I193" s="14">
        <f t="shared" si="7"/>
        <v>3</v>
      </c>
      <c r="J193" s="15">
        <v>0</v>
      </c>
      <c r="K193" s="15">
        <v>0</v>
      </c>
      <c r="L193" s="15">
        <v>0</v>
      </c>
      <c r="M193" s="15">
        <v>27</v>
      </c>
      <c r="N193" s="15">
        <v>0</v>
      </c>
      <c r="O193" s="15">
        <v>0</v>
      </c>
      <c r="P193" s="15">
        <v>0</v>
      </c>
      <c r="Q193" s="15">
        <v>27</v>
      </c>
    </row>
    <row r="194" spans="2:17" ht="28.5" customHeight="1" x14ac:dyDescent="0.3">
      <c r="B194" s="11">
        <f t="shared" si="5"/>
        <v>188</v>
      </c>
      <c r="C194" s="17" t="s">
        <v>275</v>
      </c>
      <c r="D194" s="17" t="s">
        <v>47</v>
      </c>
      <c r="E194" s="14" t="s">
        <v>321</v>
      </c>
      <c r="F194" s="14" t="s">
        <v>23</v>
      </c>
      <c r="G194" s="13">
        <v>45712</v>
      </c>
      <c r="H194" s="13">
        <v>45714</v>
      </c>
      <c r="I194" s="14">
        <f t="shared" si="7"/>
        <v>3</v>
      </c>
      <c r="J194" s="15">
        <v>0</v>
      </c>
      <c r="K194" s="15">
        <v>0</v>
      </c>
      <c r="L194" s="15">
        <v>0</v>
      </c>
      <c r="M194" s="15">
        <v>23</v>
      </c>
      <c r="N194" s="15">
        <v>0</v>
      </c>
      <c r="O194" s="15">
        <v>0</v>
      </c>
      <c r="P194" s="15">
        <v>0</v>
      </c>
      <c r="Q194" s="15">
        <v>23</v>
      </c>
    </row>
    <row r="195" spans="2:17" ht="28.5" customHeight="1" x14ac:dyDescent="0.3">
      <c r="B195" s="11">
        <f t="shared" si="5"/>
        <v>189</v>
      </c>
      <c r="C195" s="17" t="s">
        <v>276</v>
      </c>
      <c r="D195" s="17" t="s">
        <v>46</v>
      </c>
      <c r="E195" s="14" t="s">
        <v>321</v>
      </c>
      <c r="F195" s="17" t="s">
        <v>23</v>
      </c>
      <c r="G195" s="13">
        <v>45665</v>
      </c>
      <c r="H195" s="13">
        <v>45667</v>
      </c>
      <c r="I195" s="14">
        <f t="shared" si="7"/>
        <v>3</v>
      </c>
      <c r="J195" s="15">
        <v>0</v>
      </c>
      <c r="K195" s="15">
        <v>0</v>
      </c>
      <c r="L195" s="15">
        <v>0</v>
      </c>
      <c r="M195" s="15">
        <v>27</v>
      </c>
      <c r="N195" s="15">
        <v>0</v>
      </c>
      <c r="O195" s="15">
        <v>0</v>
      </c>
      <c r="P195" s="15">
        <v>0</v>
      </c>
      <c r="Q195" s="15">
        <v>27</v>
      </c>
    </row>
    <row r="196" spans="2:17" ht="28.5" customHeight="1" x14ac:dyDescent="0.3">
      <c r="B196" s="11">
        <f t="shared" si="5"/>
        <v>190</v>
      </c>
      <c r="C196" s="17" t="s">
        <v>277</v>
      </c>
      <c r="D196" s="17" t="s">
        <v>46</v>
      </c>
      <c r="E196" s="14" t="s">
        <v>321</v>
      </c>
      <c r="F196" s="17" t="s">
        <v>23</v>
      </c>
      <c r="G196" s="13">
        <v>45684</v>
      </c>
      <c r="H196" s="13">
        <v>45686</v>
      </c>
      <c r="I196" s="14">
        <f t="shared" si="7"/>
        <v>3</v>
      </c>
      <c r="J196" s="15">
        <v>0</v>
      </c>
      <c r="K196" s="15">
        <v>0</v>
      </c>
      <c r="L196" s="15">
        <v>0</v>
      </c>
      <c r="M196" s="15">
        <v>30</v>
      </c>
      <c r="N196" s="15">
        <v>0</v>
      </c>
      <c r="O196" s="15">
        <v>0</v>
      </c>
      <c r="P196" s="15">
        <v>0</v>
      </c>
      <c r="Q196" s="15">
        <v>30</v>
      </c>
    </row>
    <row r="197" spans="2:17" ht="28.5" customHeight="1" x14ac:dyDescent="0.3">
      <c r="B197" s="11">
        <f t="shared" si="5"/>
        <v>191</v>
      </c>
      <c r="C197" s="17" t="s">
        <v>278</v>
      </c>
      <c r="D197" s="17" t="s">
        <v>46</v>
      </c>
      <c r="E197" s="14" t="s">
        <v>321</v>
      </c>
      <c r="F197" s="17" t="s">
        <v>23</v>
      </c>
      <c r="G197" s="13">
        <v>45698</v>
      </c>
      <c r="H197" s="13">
        <v>45700</v>
      </c>
      <c r="I197" s="14">
        <f t="shared" si="7"/>
        <v>3</v>
      </c>
      <c r="J197" s="15">
        <v>0</v>
      </c>
      <c r="K197" s="15">
        <v>0</v>
      </c>
      <c r="L197" s="15">
        <v>0</v>
      </c>
      <c r="M197" s="15">
        <v>31</v>
      </c>
      <c r="N197" s="15">
        <v>0</v>
      </c>
      <c r="O197" s="15">
        <v>0</v>
      </c>
      <c r="P197" s="15">
        <v>0</v>
      </c>
      <c r="Q197" s="15">
        <v>31</v>
      </c>
    </row>
    <row r="198" spans="2:17" ht="28.5" customHeight="1" x14ac:dyDescent="0.3">
      <c r="B198" s="11">
        <f t="shared" si="5"/>
        <v>192</v>
      </c>
      <c r="C198" s="14" t="s">
        <v>137</v>
      </c>
      <c r="D198" s="14" t="s">
        <v>138</v>
      </c>
      <c r="E198" s="14" t="s">
        <v>321</v>
      </c>
      <c r="F198" s="14" t="s">
        <v>139</v>
      </c>
      <c r="G198" s="13">
        <v>45717</v>
      </c>
      <c r="H198" s="13">
        <v>45721</v>
      </c>
      <c r="I198" s="14">
        <f t="shared" si="7"/>
        <v>5</v>
      </c>
      <c r="J198" s="15">
        <v>5</v>
      </c>
      <c r="K198" s="15">
        <v>4</v>
      </c>
      <c r="L198" s="15">
        <v>5</v>
      </c>
      <c r="M198" s="15">
        <v>4</v>
      </c>
      <c r="N198" s="15">
        <v>4</v>
      </c>
      <c r="O198" s="15">
        <v>4</v>
      </c>
      <c r="P198" s="15">
        <v>4</v>
      </c>
      <c r="Q198" s="15">
        <v>30</v>
      </c>
    </row>
    <row r="199" spans="2:17" ht="25.5" customHeight="1" x14ac:dyDescent="0.3">
      <c r="B199" s="11">
        <f t="shared" si="5"/>
        <v>193</v>
      </c>
      <c r="C199" s="21" t="s">
        <v>279</v>
      </c>
      <c r="D199" s="21" t="s">
        <v>182</v>
      </c>
      <c r="E199" s="21" t="s">
        <v>321</v>
      </c>
      <c r="F199" s="21" t="s">
        <v>36</v>
      </c>
      <c r="G199" s="20">
        <v>45710</v>
      </c>
      <c r="H199" s="20">
        <v>45714</v>
      </c>
      <c r="I199" s="14">
        <f t="shared" si="7"/>
        <v>5</v>
      </c>
      <c r="J199" s="15">
        <v>0</v>
      </c>
      <c r="K199" s="15">
        <v>34</v>
      </c>
      <c r="L199" s="15">
        <v>0</v>
      </c>
      <c r="M199" s="15">
        <v>3</v>
      </c>
      <c r="N199" s="15">
        <v>3</v>
      </c>
      <c r="O199" s="15">
        <v>2</v>
      </c>
      <c r="P199" s="15">
        <v>3</v>
      </c>
      <c r="Q199" s="15">
        <v>45</v>
      </c>
    </row>
    <row r="200" spans="2:17" ht="25.5" customHeight="1" x14ac:dyDescent="0.3">
      <c r="B200" s="11">
        <f t="shared" si="5"/>
        <v>194</v>
      </c>
      <c r="C200" s="21" t="s">
        <v>280</v>
      </c>
      <c r="D200" s="21" t="s">
        <v>19</v>
      </c>
      <c r="E200" s="21" t="s">
        <v>321</v>
      </c>
      <c r="F200" s="21" t="s">
        <v>23</v>
      </c>
      <c r="G200" s="20">
        <v>45712</v>
      </c>
      <c r="H200" s="20">
        <v>45713</v>
      </c>
      <c r="I200" s="14">
        <f t="shared" si="7"/>
        <v>2</v>
      </c>
      <c r="J200" s="15">
        <v>0</v>
      </c>
      <c r="K200" s="15">
        <v>0</v>
      </c>
      <c r="L200" s="15">
        <v>6</v>
      </c>
      <c r="M200" s="15">
        <v>0</v>
      </c>
      <c r="N200" s="15">
        <v>0</v>
      </c>
      <c r="O200" s="15">
        <v>0</v>
      </c>
      <c r="P200" s="15">
        <v>0</v>
      </c>
      <c r="Q200" s="15">
        <v>6</v>
      </c>
    </row>
    <row r="201" spans="2:17" ht="25.5" customHeight="1" x14ac:dyDescent="0.3">
      <c r="B201" s="11">
        <f t="shared" ref="B201:B234" si="8">IF(C201="","",B200+1)</f>
        <v>195</v>
      </c>
      <c r="C201" s="21" t="s">
        <v>281</v>
      </c>
      <c r="D201" s="12" t="s">
        <v>63</v>
      </c>
      <c r="E201" s="21" t="s">
        <v>321</v>
      </c>
      <c r="F201" s="21" t="s">
        <v>64</v>
      </c>
      <c r="G201" s="20">
        <v>45692</v>
      </c>
      <c r="H201" s="20">
        <v>45695</v>
      </c>
      <c r="I201" s="14">
        <f t="shared" si="7"/>
        <v>4</v>
      </c>
      <c r="J201" s="15">
        <v>0</v>
      </c>
      <c r="K201" s="15">
        <v>0</v>
      </c>
      <c r="L201" s="15">
        <v>0</v>
      </c>
      <c r="M201" s="15">
        <v>3</v>
      </c>
      <c r="N201" s="15">
        <v>0</v>
      </c>
      <c r="O201" s="15">
        <v>0</v>
      </c>
      <c r="P201" s="15">
        <v>0</v>
      </c>
      <c r="Q201" s="15">
        <v>3</v>
      </c>
    </row>
    <row r="202" spans="2:17" ht="25.5" customHeight="1" x14ac:dyDescent="0.3">
      <c r="B202" s="11">
        <f t="shared" si="8"/>
        <v>196</v>
      </c>
      <c r="C202" s="21" t="s">
        <v>234</v>
      </c>
      <c r="D202" s="21" t="s">
        <v>19</v>
      </c>
      <c r="E202" s="21" t="s">
        <v>321</v>
      </c>
      <c r="F202" s="21" t="s">
        <v>61</v>
      </c>
      <c r="G202" s="20">
        <v>45698</v>
      </c>
      <c r="H202" s="20">
        <v>45702</v>
      </c>
      <c r="I202" s="14">
        <f t="shared" si="7"/>
        <v>5</v>
      </c>
      <c r="J202" s="15">
        <v>0</v>
      </c>
      <c r="K202" s="15">
        <v>3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3</v>
      </c>
    </row>
    <row r="203" spans="2:17" ht="45" x14ac:dyDescent="0.3">
      <c r="B203" s="11">
        <f t="shared" si="8"/>
        <v>197</v>
      </c>
      <c r="C203" s="21" t="s">
        <v>282</v>
      </c>
      <c r="D203" s="12" t="s">
        <v>63</v>
      </c>
      <c r="E203" s="21" t="s">
        <v>321</v>
      </c>
      <c r="F203" s="21" t="s">
        <v>64</v>
      </c>
      <c r="G203" s="20">
        <v>45692</v>
      </c>
      <c r="H203" s="20">
        <v>45695</v>
      </c>
      <c r="I203" s="14">
        <f t="shared" si="7"/>
        <v>4</v>
      </c>
      <c r="J203" s="15">
        <v>0</v>
      </c>
      <c r="K203" s="15">
        <v>0</v>
      </c>
      <c r="L203" s="15">
        <v>0</v>
      </c>
      <c r="M203" s="15">
        <v>0</v>
      </c>
      <c r="N203" s="15">
        <v>2</v>
      </c>
      <c r="O203" s="15">
        <v>0</v>
      </c>
      <c r="P203" s="15">
        <v>5</v>
      </c>
      <c r="Q203" s="15">
        <v>7</v>
      </c>
    </row>
    <row r="204" spans="2:17" ht="25.5" customHeight="1" x14ac:dyDescent="0.25">
      <c r="B204" s="11">
        <f t="shared" si="8"/>
        <v>198</v>
      </c>
      <c r="C204" s="25" t="s">
        <v>283</v>
      </c>
      <c r="D204" s="25" t="s">
        <v>284</v>
      </c>
      <c r="E204" s="21" t="s">
        <v>321</v>
      </c>
      <c r="F204" s="21" t="s">
        <v>118</v>
      </c>
      <c r="G204" s="20">
        <v>45699</v>
      </c>
      <c r="H204" s="20">
        <v>45699</v>
      </c>
      <c r="I204" s="14">
        <f t="shared" si="7"/>
        <v>1</v>
      </c>
      <c r="J204" s="15">
        <v>0</v>
      </c>
      <c r="K204" s="15">
        <v>4</v>
      </c>
      <c r="L204" s="15">
        <v>0</v>
      </c>
      <c r="M204" s="15">
        <v>1</v>
      </c>
      <c r="N204" s="15">
        <v>0</v>
      </c>
      <c r="O204" s="15">
        <v>0</v>
      </c>
      <c r="P204" s="15">
        <v>2</v>
      </c>
      <c r="Q204" s="15">
        <v>7</v>
      </c>
    </row>
    <row r="205" spans="2:17" ht="25.5" customHeight="1" x14ac:dyDescent="0.3">
      <c r="B205" s="11">
        <f t="shared" si="8"/>
        <v>199</v>
      </c>
      <c r="C205" s="21" t="s">
        <v>285</v>
      </c>
      <c r="D205" s="21" t="s">
        <v>286</v>
      </c>
      <c r="E205" s="21" t="s">
        <v>321</v>
      </c>
      <c r="F205" s="21" t="s">
        <v>79</v>
      </c>
      <c r="G205" s="20">
        <v>45709</v>
      </c>
      <c r="H205" s="20">
        <v>45710</v>
      </c>
      <c r="I205" s="14">
        <f t="shared" si="7"/>
        <v>2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2</v>
      </c>
      <c r="P205" s="15">
        <v>3</v>
      </c>
      <c r="Q205" s="15">
        <v>5</v>
      </c>
    </row>
    <row r="206" spans="2:17" ht="25.5" customHeight="1" x14ac:dyDescent="0.25">
      <c r="B206" s="11">
        <f t="shared" si="8"/>
        <v>200</v>
      </c>
      <c r="C206" s="25" t="s">
        <v>287</v>
      </c>
      <c r="D206" s="21" t="s">
        <v>288</v>
      </c>
      <c r="E206" s="25" t="s">
        <v>321</v>
      </c>
      <c r="F206" s="25" t="s">
        <v>79</v>
      </c>
      <c r="G206" s="20">
        <v>45701</v>
      </c>
      <c r="H206" s="20">
        <v>45702</v>
      </c>
      <c r="I206" s="14">
        <f t="shared" si="7"/>
        <v>2</v>
      </c>
      <c r="J206" s="15">
        <v>0</v>
      </c>
      <c r="K206" s="15">
        <v>1</v>
      </c>
      <c r="L206" s="15">
        <v>0</v>
      </c>
      <c r="M206" s="15">
        <v>0</v>
      </c>
      <c r="N206" s="15">
        <v>0</v>
      </c>
      <c r="O206" s="15">
        <v>0</v>
      </c>
      <c r="P206" s="15">
        <v>2</v>
      </c>
      <c r="Q206" s="15">
        <v>3</v>
      </c>
    </row>
    <row r="207" spans="2:17" ht="25.5" customHeight="1" x14ac:dyDescent="0.3">
      <c r="B207" s="11">
        <f t="shared" si="8"/>
        <v>201</v>
      </c>
      <c r="C207" s="21" t="s">
        <v>289</v>
      </c>
      <c r="D207" s="21" t="s">
        <v>290</v>
      </c>
      <c r="E207" s="21" t="s">
        <v>321</v>
      </c>
      <c r="F207" s="21" t="s">
        <v>291</v>
      </c>
      <c r="G207" s="20">
        <v>45701</v>
      </c>
      <c r="H207" s="20">
        <v>45704</v>
      </c>
      <c r="I207" s="14">
        <f t="shared" si="7"/>
        <v>4</v>
      </c>
      <c r="J207" s="15">
        <v>0</v>
      </c>
      <c r="K207" s="15">
        <v>0</v>
      </c>
      <c r="L207" s="15">
        <v>0</v>
      </c>
      <c r="M207" s="15">
        <v>2</v>
      </c>
      <c r="N207" s="15">
        <v>0</v>
      </c>
      <c r="O207" s="15">
        <v>0</v>
      </c>
      <c r="P207" s="15">
        <v>0</v>
      </c>
      <c r="Q207" s="15">
        <v>2</v>
      </c>
    </row>
    <row r="208" spans="2:17" ht="25.5" customHeight="1" x14ac:dyDescent="0.3">
      <c r="B208" s="11">
        <f t="shared" si="8"/>
        <v>202</v>
      </c>
      <c r="C208" s="21" t="s">
        <v>292</v>
      </c>
      <c r="D208" s="21" t="s">
        <v>155</v>
      </c>
      <c r="E208" s="21" t="s">
        <v>321</v>
      </c>
      <c r="F208" s="21" t="s">
        <v>79</v>
      </c>
      <c r="G208" s="20">
        <v>45702</v>
      </c>
      <c r="H208" s="20">
        <v>45703</v>
      </c>
      <c r="I208" s="14">
        <f t="shared" si="7"/>
        <v>2</v>
      </c>
      <c r="J208" s="15">
        <v>0</v>
      </c>
      <c r="K208" s="15">
        <v>0</v>
      </c>
      <c r="L208" s="15">
        <v>0</v>
      </c>
      <c r="M208" s="15">
        <v>0</v>
      </c>
      <c r="N208" s="15">
        <v>2</v>
      </c>
      <c r="O208" s="15">
        <v>0</v>
      </c>
      <c r="P208" s="15">
        <v>0</v>
      </c>
      <c r="Q208" s="15">
        <v>2</v>
      </c>
    </row>
    <row r="209" spans="2:17" ht="25.5" customHeight="1" x14ac:dyDescent="0.3">
      <c r="B209" s="11">
        <f t="shared" si="8"/>
        <v>203</v>
      </c>
      <c r="C209" s="21" t="s">
        <v>293</v>
      </c>
      <c r="D209" s="21" t="s">
        <v>214</v>
      </c>
      <c r="E209" s="21" t="s">
        <v>321</v>
      </c>
      <c r="F209" s="21" t="s">
        <v>23</v>
      </c>
      <c r="G209" s="20">
        <v>45705</v>
      </c>
      <c r="H209" s="20">
        <v>45705</v>
      </c>
      <c r="I209" s="14">
        <f t="shared" si="7"/>
        <v>1</v>
      </c>
      <c r="J209" s="15">
        <v>0</v>
      </c>
      <c r="K209" s="15">
        <v>0</v>
      </c>
      <c r="L209" s="15">
        <v>0</v>
      </c>
      <c r="M209" s="15">
        <v>0</v>
      </c>
      <c r="N209" s="15">
        <v>3</v>
      </c>
      <c r="O209" s="15">
        <v>0</v>
      </c>
      <c r="P209" s="15">
        <v>0</v>
      </c>
      <c r="Q209" s="15">
        <v>3</v>
      </c>
    </row>
    <row r="210" spans="2:17" ht="14.25" customHeight="1" x14ac:dyDescent="0.3">
      <c r="B210" s="11">
        <f t="shared" si="8"/>
        <v>204</v>
      </c>
      <c r="C210" s="21" t="s">
        <v>294</v>
      </c>
      <c r="D210" s="21" t="s">
        <v>295</v>
      </c>
      <c r="E210" s="21" t="s">
        <v>321</v>
      </c>
      <c r="F210" s="21" t="s">
        <v>296</v>
      </c>
      <c r="G210" s="20">
        <v>45712</v>
      </c>
      <c r="H210" s="20">
        <v>45716</v>
      </c>
      <c r="I210" s="14">
        <f t="shared" si="7"/>
        <v>5</v>
      </c>
      <c r="J210" s="15">
        <v>1</v>
      </c>
      <c r="K210" s="15">
        <v>1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2</v>
      </c>
    </row>
    <row r="211" spans="2:17" ht="25.5" customHeight="1" x14ac:dyDescent="0.3">
      <c r="B211" s="11">
        <f t="shared" si="8"/>
        <v>205</v>
      </c>
      <c r="C211" s="21" t="s">
        <v>297</v>
      </c>
      <c r="D211" s="21" t="s">
        <v>298</v>
      </c>
      <c r="E211" s="21" t="s">
        <v>321</v>
      </c>
      <c r="F211" s="21" t="s">
        <v>24</v>
      </c>
      <c r="G211" s="20">
        <v>45713</v>
      </c>
      <c r="H211" s="20">
        <v>45713</v>
      </c>
      <c r="I211" s="14">
        <f t="shared" si="7"/>
        <v>1</v>
      </c>
      <c r="J211" s="15">
        <v>9</v>
      </c>
      <c r="K211" s="15">
        <v>12</v>
      </c>
      <c r="L211" s="15">
        <v>23</v>
      </c>
      <c r="M211" s="15">
        <v>12</v>
      </c>
      <c r="N211" s="15">
        <v>9</v>
      </c>
      <c r="O211" s="15">
        <v>8</v>
      </c>
      <c r="P211" s="15">
        <v>8</v>
      </c>
      <c r="Q211" s="15">
        <v>81</v>
      </c>
    </row>
    <row r="212" spans="2:17" ht="14.25" customHeight="1" x14ac:dyDescent="0.3">
      <c r="B212" s="11">
        <f t="shared" si="8"/>
        <v>206</v>
      </c>
      <c r="C212" s="21" t="s">
        <v>299</v>
      </c>
      <c r="D212" s="21" t="s">
        <v>182</v>
      </c>
      <c r="E212" s="21" t="s">
        <v>321</v>
      </c>
      <c r="F212" s="21" t="s">
        <v>23</v>
      </c>
      <c r="G212" s="20">
        <v>45712</v>
      </c>
      <c r="H212" s="20">
        <v>45713</v>
      </c>
      <c r="I212" s="14">
        <f t="shared" si="7"/>
        <v>2</v>
      </c>
      <c r="J212" s="15">
        <v>1</v>
      </c>
      <c r="K212" s="15">
        <v>0</v>
      </c>
      <c r="L212" s="15">
        <v>0</v>
      </c>
      <c r="M212" s="15">
        <v>0</v>
      </c>
      <c r="N212" s="15">
        <v>2</v>
      </c>
      <c r="O212" s="15">
        <v>0</v>
      </c>
      <c r="P212" s="15">
        <v>0</v>
      </c>
      <c r="Q212" s="15">
        <v>3</v>
      </c>
    </row>
    <row r="213" spans="2:17" ht="25.5" customHeight="1" x14ac:dyDescent="0.3">
      <c r="B213" s="11">
        <f t="shared" si="8"/>
        <v>207</v>
      </c>
      <c r="C213" s="26" t="s">
        <v>322</v>
      </c>
      <c r="D213" s="21" t="s">
        <v>300</v>
      </c>
      <c r="E213" s="21" t="s">
        <v>321</v>
      </c>
      <c r="F213" s="21" t="s">
        <v>23</v>
      </c>
      <c r="G213" s="20">
        <v>45712</v>
      </c>
      <c r="H213" s="20">
        <v>45713</v>
      </c>
      <c r="I213" s="14">
        <f t="shared" si="7"/>
        <v>2</v>
      </c>
      <c r="J213" s="15">
        <v>1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</row>
    <row r="214" spans="2:17" ht="25.5" customHeight="1" x14ac:dyDescent="0.3">
      <c r="B214" s="11">
        <f t="shared" si="8"/>
        <v>208</v>
      </c>
      <c r="C214" s="21" t="s">
        <v>301</v>
      </c>
      <c r="D214" s="21" t="s">
        <v>165</v>
      </c>
      <c r="E214" s="21" t="s">
        <v>321</v>
      </c>
      <c r="F214" s="21" t="s">
        <v>24</v>
      </c>
      <c r="G214" s="20">
        <v>45703</v>
      </c>
      <c r="H214" s="20">
        <v>45703</v>
      </c>
      <c r="I214" s="14">
        <f t="shared" si="7"/>
        <v>1</v>
      </c>
      <c r="J214" s="15">
        <v>0</v>
      </c>
      <c r="K214" s="15">
        <v>5</v>
      </c>
      <c r="L214" s="15">
        <v>5</v>
      </c>
      <c r="M214" s="15">
        <v>0</v>
      </c>
      <c r="N214" s="15">
        <v>0</v>
      </c>
      <c r="O214" s="15">
        <v>4</v>
      </c>
      <c r="P214" s="15">
        <v>5</v>
      </c>
      <c r="Q214" s="15">
        <v>19</v>
      </c>
    </row>
    <row r="215" spans="2:17" ht="25.5" customHeight="1" x14ac:dyDescent="0.3">
      <c r="B215" s="11">
        <f t="shared" si="8"/>
        <v>209</v>
      </c>
      <c r="C215" s="21" t="s">
        <v>302</v>
      </c>
      <c r="D215" s="12" t="s">
        <v>63</v>
      </c>
      <c r="E215" s="21" t="s">
        <v>321</v>
      </c>
      <c r="F215" s="21" t="s">
        <v>64</v>
      </c>
      <c r="G215" s="20">
        <v>45720</v>
      </c>
      <c r="H215" s="20">
        <v>45723</v>
      </c>
      <c r="I215" s="14">
        <f t="shared" si="7"/>
        <v>4</v>
      </c>
      <c r="J215" s="15">
        <v>0</v>
      </c>
      <c r="K215" s="15">
        <v>0</v>
      </c>
      <c r="L215" s="15">
        <v>0</v>
      </c>
      <c r="M215" s="15">
        <v>0</v>
      </c>
      <c r="N215" s="15">
        <v>2</v>
      </c>
      <c r="O215" s="15">
        <v>0</v>
      </c>
      <c r="P215" s="15">
        <v>0</v>
      </c>
      <c r="Q215" s="15">
        <v>2</v>
      </c>
    </row>
    <row r="216" spans="2:17" ht="51" customHeight="1" x14ac:dyDescent="0.3">
      <c r="B216" s="11">
        <f t="shared" si="8"/>
        <v>210</v>
      </c>
      <c r="C216" s="21" t="s">
        <v>252</v>
      </c>
      <c r="D216" s="21" t="s">
        <v>85</v>
      </c>
      <c r="E216" s="21" t="s">
        <v>321</v>
      </c>
      <c r="F216" s="21" t="s">
        <v>64</v>
      </c>
      <c r="G216" s="20">
        <v>45735</v>
      </c>
      <c r="H216" s="20">
        <v>45737</v>
      </c>
      <c r="I216" s="14">
        <f t="shared" si="7"/>
        <v>3</v>
      </c>
      <c r="J216" s="15">
        <v>0</v>
      </c>
      <c r="K216" s="15">
        <v>0</v>
      </c>
      <c r="L216" s="15">
        <v>5</v>
      </c>
      <c r="M216" s="15">
        <v>0</v>
      </c>
      <c r="N216" s="15">
        <v>0</v>
      </c>
      <c r="O216" s="15">
        <v>0</v>
      </c>
      <c r="P216" s="15">
        <v>0</v>
      </c>
      <c r="Q216" s="15">
        <v>5</v>
      </c>
    </row>
    <row r="217" spans="2:17" ht="25.5" customHeight="1" x14ac:dyDescent="0.25">
      <c r="B217" s="11">
        <f t="shared" si="8"/>
        <v>211</v>
      </c>
      <c r="C217" s="25" t="s">
        <v>303</v>
      </c>
      <c r="D217" s="25" t="s">
        <v>259</v>
      </c>
      <c r="E217" s="25" t="s">
        <v>321</v>
      </c>
      <c r="F217" s="25" t="s">
        <v>23</v>
      </c>
      <c r="G217" s="20">
        <v>45720</v>
      </c>
      <c r="H217" s="20">
        <v>45720</v>
      </c>
      <c r="I217" s="14">
        <f t="shared" si="7"/>
        <v>1</v>
      </c>
      <c r="J217" s="15">
        <v>0</v>
      </c>
      <c r="K217" s="15">
        <v>4</v>
      </c>
      <c r="L217" s="15">
        <v>0</v>
      </c>
      <c r="M217" s="15">
        <v>3</v>
      </c>
      <c r="N217" s="15">
        <v>5</v>
      </c>
      <c r="O217" s="15">
        <v>4</v>
      </c>
      <c r="P217" s="15">
        <v>4</v>
      </c>
      <c r="Q217" s="15">
        <v>20</v>
      </c>
    </row>
    <row r="218" spans="2:17" ht="25.5" customHeight="1" x14ac:dyDescent="0.3">
      <c r="B218" s="11">
        <f t="shared" si="8"/>
        <v>212</v>
      </c>
      <c r="C218" s="21" t="s">
        <v>304</v>
      </c>
      <c r="D218" s="21" t="s">
        <v>208</v>
      </c>
      <c r="E218" s="21" t="s">
        <v>321</v>
      </c>
      <c r="F218" s="21" t="s">
        <v>23</v>
      </c>
      <c r="G218" s="20">
        <v>45734</v>
      </c>
      <c r="H218" s="20">
        <v>45738</v>
      </c>
      <c r="I218" s="14">
        <f t="shared" si="7"/>
        <v>5</v>
      </c>
      <c r="J218" s="15">
        <v>0</v>
      </c>
      <c r="K218" s="15">
        <v>0</v>
      </c>
      <c r="L218" s="15">
        <v>0</v>
      </c>
      <c r="M218" s="15">
        <v>4</v>
      </c>
      <c r="N218" s="15">
        <v>2</v>
      </c>
      <c r="O218" s="15">
        <v>0</v>
      </c>
      <c r="P218" s="15">
        <v>2</v>
      </c>
      <c r="Q218" s="15">
        <v>8</v>
      </c>
    </row>
    <row r="219" spans="2:17" ht="15" x14ac:dyDescent="0.25">
      <c r="B219" s="11">
        <f t="shared" si="8"/>
        <v>213</v>
      </c>
      <c r="C219" s="25" t="s">
        <v>305</v>
      </c>
      <c r="D219" s="25" t="s">
        <v>306</v>
      </c>
      <c r="E219" s="21" t="s">
        <v>321</v>
      </c>
      <c r="F219" s="21" t="s">
        <v>23</v>
      </c>
      <c r="G219" s="20">
        <v>45726</v>
      </c>
      <c r="H219" s="20">
        <v>45727</v>
      </c>
      <c r="I219" s="14">
        <f t="shared" si="7"/>
        <v>2</v>
      </c>
      <c r="J219" s="15">
        <v>0</v>
      </c>
      <c r="K219" s="15">
        <v>2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2</v>
      </c>
    </row>
    <row r="220" spans="2:17" ht="15" x14ac:dyDescent="0.25">
      <c r="B220" s="11">
        <f t="shared" si="8"/>
        <v>214</v>
      </c>
      <c r="C220" s="25" t="s">
        <v>305</v>
      </c>
      <c r="D220" s="25" t="s">
        <v>306</v>
      </c>
      <c r="E220" s="21" t="s">
        <v>321</v>
      </c>
      <c r="F220" s="21" t="s">
        <v>23</v>
      </c>
      <c r="G220" s="20">
        <v>45726</v>
      </c>
      <c r="H220" s="20">
        <v>45727</v>
      </c>
      <c r="I220" s="14">
        <f t="shared" si="7"/>
        <v>2</v>
      </c>
      <c r="J220" s="15">
        <v>0</v>
      </c>
      <c r="K220" s="15">
        <v>2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2</v>
      </c>
    </row>
    <row r="221" spans="2:17" ht="30" x14ac:dyDescent="0.25">
      <c r="B221" s="11">
        <f t="shared" si="8"/>
        <v>215</v>
      </c>
      <c r="C221" s="25" t="s">
        <v>307</v>
      </c>
      <c r="D221" s="25" t="s">
        <v>117</v>
      </c>
      <c r="E221" s="25" t="s">
        <v>321</v>
      </c>
      <c r="F221" s="25" t="s">
        <v>118</v>
      </c>
      <c r="G221" s="20">
        <v>45726</v>
      </c>
      <c r="H221" s="20">
        <v>45728</v>
      </c>
      <c r="I221" s="14">
        <f t="shared" si="7"/>
        <v>3</v>
      </c>
      <c r="J221" s="15">
        <v>0</v>
      </c>
      <c r="K221" s="15">
        <v>0</v>
      </c>
      <c r="L221" s="15">
        <v>4</v>
      </c>
      <c r="M221" s="15">
        <v>0</v>
      </c>
      <c r="N221" s="15">
        <v>0</v>
      </c>
      <c r="O221" s="15">
        <v>3</v>
      </c>
      <c r="P221" s="15">
        <v>0</v>
      </c>
      <c r="Q221" s="15">
        <v>7</v>
      </c>
    </row>
    <row r="222" spans="2:17" ht="15" x14ac:dyDescent="0.25">
      <c r="B222" s="11">
        <f t="shared" si="8"/>
        <v>216</v>
      </c>
      <c r="C222" s="25" t="s">
        <v>308</v>
      </c>
      <c r="D222" s="25" t="s">
        <v>117</v>
      </c>
      <c r="E222" s="25" t="s">
        <v>321</v>
      </c>
      <c r="F222" s="25" t="s">
        <v>118</v>
      </c>
      <c r="G222" s="20">
        <v>45740</v>
      </c>
      <c r="H222" s="20">
        <v>45742</v>
      </c>
      <c r="I222" s="14">
        <f t="shared" si="7"/>
        <v>3</v>
      </c>
      <c r="J222" s="15">
        <v>0</v>
      </c>
      <c r="K222" s="15">
        <v>0</v>
      </c>
      <c r="L222" s="15">
        <v>4</v>
      </c>
      <c r="M222" s="15">
        <v>0</v>
      </c>
      <c r="N222" s="15">
        <v>0</v>
      </c>
      <c r="O222" s="15">
        <v>2</v>
      </c>
      <c r="P222" s="15">
        <v>0</v>
      </c>
      <c r="Q222" s="15">
        <v>6</v>
      </c>
    </row>
    <row r="223" spans="2:17" ht="45" x14ac:dyDescent="0.3">
      <c r="B223" s="11">
        <f t="shared" si="8"/>
        <v>217</v>
      </c>
      <c r="C223" s="21" t="s">
        <v>309</v>
      </c>
      <c r="D223" s="21" t="s">
        <v>214</v>
      </c>
      <c r="E223" s="21" t="s">
        <v>321</v>
      </c>
      <c r="F223" s="21" t="s">
        <v>23</v>
      </c>
      <c r="G223" s="20">
        <v>45727</v>
      </c>
      <c r="H223" s="20">
        <v>45727</v>
      </c>
      <c r="I223" s="14">
        <f t="shared" si="7"/>
        <v>1</v>
      </c>
      <c r="J223" s="15">
        <v>0</v>
      </c>
      <c r="K223" s="15">
        <v>0</v>
      </c>
      <c r="L223" s="15">
        <v>0</v>
      </c>
      <c r="M223" s="15">
        <v>1</v>
      </c>
      <c r="N223" s="15">
        <v>1</v>
      </c>
      <c r="O223" s="15">
        <v>1</v>
      </c>
      <c r="P223" s="15">
        <v>1</v>
      </c>
      <c r="Q223" s="15">
        <v>4</v>
      </c>
    </row>
    <row r="224" spans="2:17" ht="30" x14ac:dyDescent="0.3">
      <c r="B224" s="11">
        <f t="shared" si="8"/>
        <v>218</v>
      </c>
      <c r="C224" s="21" t="s">
        <v>310</v>
      </c>
      <c r="D224" s="21" t="s">
        <v>311</v>
      </c>
      <c r="E224" s="21" t="s">
        <v>321</v>
      </c>
      <c r="F224" s="21" t="s">
        <v>312</v>
      </c>
      <c r="G224" s="20">
        <v>45740</v>
      </c>
      <c r="H224" s="20">
        <v>45742</v>
      </c>
      <c r="I224" s="14">
        <f t="shared" si="7"/>
        <v>3</v>
      </c>
      <c r="J224" s="15">
        <v>0</v>
      </c>
      <c r="K224" s="15">
        <v>0</v>
      </c>
      <c r="L224" s="15">
        <v>7</v>
      </c>
      <c r="M224" s="15">
        <v>0</v>
      </c>
      <c r="N224" s="15">
        <v>0</v>
      </c>
      <c r="O224" s="15">
        <v>0</v>
      </c>
      <c r="P224" s="15">
        <v>0</v>
      </c>
      <c r="Q224" s="15">
        <v>7</v>
      </c>
    </row>
    <row r="225" spans="2:17" ht="45" x14ac:dyDescent="0.3">
      <c r="B225" s="11">
        <f t="shared" si="8"/>
        <v>219</v>
      </c>
      <c r="C225" s="12" t="s">
        <v>111</v>
      </c>
      <c r="D225" s="12" t="s">
        <v>112</v>
      </c>
      <c r="E225" s="12" t="s">
        <v>321</v>
      </c>
      <c r="F225" s="12" t="s">
        <v>113</v>
      </c>
      <c r="G225" s="13">
        <v>45736</v>
      </c>
      <c r="H225" s="16">
        <v>45738</v>
      </c>
      <c r="I225" s="14">
        <f t="shared" ref="I225:I234" si="9">IF(G225="","",H225-G225+1)</f>
        <v>3</v>
      </c>
      <c r="J225" s="15">
        <v>0</v>
      </c>
      <c r="K225" s="15">
        <v>0</v>
      </c>
      <c r="L225" s="15">
        <v>0</v>
      </c>
      <c r="M225" s="15">
        <v>2</v>
      </c>
      <c r="N225" s="15">
        <v>0</v>
      </c>
      <c r="O225" s="15">
        <v>2</v>
      </c>
      <c r="P225" s="15">
        <v>0</v>
      </c>
      <c r="Q225" s="15">
        <v>4</v>
      </c>
    </row>
    <row r="226" spans="2:17" ht="30" x14ac:dyDescent="0.3">
      <c r="B226" s="11">
        <f t="shared" si="8"/>
        <v>220</v>
      </c>
      <c r="C226" s="21" t="s">
        <v>313</v>
      </c>
      <c r="D226" s="21" t="s">
        <v>314</v>
      </c>
      <c r="E226" s="21" t="s">
        <v>321</v>
      </c>
      <c r="F226" s="21" t="s">
        <v>296</v>
      </c>
      <c r="G226" s="20">
        <v>45733</v>
      </c>
      <c r="H226" s="20">
        <v>45735</v>
      </c>
      <c r="I226" s="14">
        <f t="shared" si="9"/>
        <v>3</v>
      </c>
      <c r="J226" s="15">
        <v>0</v>
      </c>
      <c r="K226" s="15">
        <v>0</v>
      </c>
      <c r="L226" s="15">
        <v>0</v>
      </c>
      <c r="M226" s="15">
        <v>1</v>
      </c>
      <c r="N226" s="15">
        <v>2</v>
      </c>
      <c r="O226" s="15">
        <v>0</v>
      </c>
      <c r="P226" s="15">
        <v>1</v>
      </c>
      <c r="Q226" s="15">
        <v>4</v>
      </c>
    </row>
    <row r="227" spans="2:17" ht="15" x14ac:dyDescent="0.25">
      <c r="B227" s="11">
        <f t="shared" si="8"/>
        <v>221</v>
      </c>
      <c r="C227" s="25" t="s">
        <v>315</v>
      </c>
      <c r="D227" s="25" t="s">
        <v>81</v>
      </c>
      <c r="E227" s="25" t="s">
        <v>321</v>
      </c>
      <c r="F227" s="25" t="s">
        <v>24</v>
      </c>
      <c r="G227" s="20">
        <v>45736</v>
      </c>
      <c r="H227" s="20">
        <v>45737</v>
      </c>
      <c r="I227" s="14">
        <f t="shared" si="9"/>
        <v>2</v>
      </c>
      <c r="J227" s="15">
        <v>0</v>
      </c>
      <c r="K227" s="15">
        <v>0</v>
      </c>
      <c r="L227" s="15">
        <v>14</v>
      </c>
      <c r="M227" s="15">
        <v>0</v>
      </c>
      <c r="N227" s="15">
        <v>0</v>
      </c>
      <c r="O227" s="15">
        <v>0</v>
      </c>
      <c r="P227" s="15">
        <v>0</v>
      </c>
      <c r="Q227" s="15">
        <v>14</v>
      </c>
    </row>
    <row r="228" spans="2:17" ht="30" x14ac:dyDescent="0.3">
      <c r="B228" s="11">
        <f t="shared" si="8"/>
        <v>222</v>
      </c>
      <c r="C228" s="21" t="s">
        <v>316</v>
      </c>
      <c r="D228" s="21" t="s">
        <v>317</v>
      </c>
      <c r="E228" s="21" t="s">
        <v>321</v>
      </c>
      <c r="F228" s="21" t="s">
        <v>79</v>
      </c>
      <c r="G228" s="20">
        <v>45740</v>
      </c>
      <c r="H228" s="20">
        <v>45741</v>
      </c>
      <c r="I228" s="14">
        <f t="shared" si="9"/>
        <v>2</v>
      </c>
      <c r="J228" s="15">
        <v>0</v>
      </c>
      <c r="K228" s="15">
        <v>5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5</v>
      </c>
    </row>
    <row r="229" spans="2:17" ht="30" x14ac:dyDescent="0.3">
      <c r="B229" s="11">
        <f t="shared" si="8"/>
        <v>223</v>
      </c>
      <c r="C229" s="14" t="s">
        <v>318</v>
      </c>
      <c r="D229" s="14" t="s">
        <v>319</v>
      </c>
      <c r="E229" s="14" t="s">
        <v>321</v>
      </c>
      <c r="F229" s="14" t="s">
        <v>320</v>
      </c>
      <c r="G229" s="13">
        <v>45734</v>
      </c>
      <c r="H229" s="13">
        <v>45738</v>
      </c>
      <c r="I229" s="14">
        <f t="shared" si="9"/>
        <v>5</v>
      </c>
      <c r="J229" s="15">
        <v>10</v>
      </c>
      <c r="K229" s="15">
        <v>5</v>
      </c>
      <c r="L229" s="15">
        <v>5</v>
      </c>
      <c r="M229" s="15">
        <v>3</v>
      </c>
      <c r="N229" s="15">
        <v>2</v>
      </c>
      <c r="O229" s="15">
        <v>3</v>
      </c>
      <c r="P229" s="15">
        <v>6</v>
      </c>
      <c r="Q229" s="15">
        <v>34</v>
      </c>
    </row>
    <row r="230" spans="2:17" ht="30" x14ac:dyDescent="0.3">
      <c r="B230" s="11">
        <f t="shared" si="8"/>
        <v>224</v>
      </c>
      <c r="C230" s="14" t="s">
        <v>318</v>
      </c>
      <c r="D230" s="14" t="s">
        <v>319</v>
      </c>
      <c r="E230" s="14" t="s">
        <v>321</v>
      </c>
      <c r="F230" s="14" t="s">
        <v>320</v>
      </c>
      <c r="G230" s="13">
        <v>45741</v>
      </c>
      <c r="H230" s="13">
        <v>45745</v>
      </c>
      <c r="I230" s="14">
        <f t="shared" si="9"/>
        <v>5</v>
      </c>
      <c r="J230" s="15">
        <v>4</v>
      </c>
      <c r="K230" s="15">
        <v>8</v>
      </c>
      <c r="L230" s="15">
        <v>6</v>
      </c>
      <c r="M230" s="15">
        <v>4</v>
      </c>
      <c r="N230" s="15">
        <v>3</v>
      </c>
      <c r="O230" s="15">
        <v>4</v>
      </c>
      <c r="P230" s="15">
        <v>4</v>
      </c>
      <c r="Q230" s="15">
        <v>33</v>
      </c>
    </row>
    <row r="231" spans="2:17" ht="30" x14ac:dyDescent="0.3">
      <c r="B231" s="11">
        <f t="shared" si="8"/>
        <v>225</v>
      </c>
      <c r="C231" s="14" t="s">
        <v>318</v>
      </c>
      <c r="D231" s="14" t="s">
        <v>319</v>
      </c>
      <c r="E231" s="14" t="s">
        <v>321</v>
      </c>
      <c r="F231" s="14" t="s">
        <v>320</v>
      </c>
      <c r="G231" s="13">
        <v>45741</v>
      </c>
      <c r="H231" s="13">
        <v>45745</v>
      </c>
      <c r="I231" s="14">
        <f t="shared" si="9"/>
        <v>5</v>
      </c>
      <c r="J231" s="15">
        <v>3</v>
      </c>
      <c r="K231" s="15">
        <v>9</v>
      </c>
      <c r="L231" s="15">
        <v>6</v>
      </c>
      <c r="M231" s="15">
        <v>5</v>
      </c>
      <c r="N231" s="15">
        <v>3</v>
      </c>
      <c r="O231" s="15">
        <v>5</v>
      </c>
      <c r="P231" s="15">
        <v>5</v>
      </c>
      <c r="Q231" s="15">
        <v>36</v>
      </c>
    </row>
    <row r="232" spans="2:17" ht="30" x14ac:dyDescent="0.3">
      <c r="B232" s="11">
        <f t="shared" si="8"/>
        <v>226</v>
      </c>
      <c r="C232" s="21" t="s">
        <v>304</v>
      </c>
      <c r="D232" s="21" t="s">
        <v>208</v>
      </c>
      <c r="E232" s="21" t="s">
        <v>321</v>
      </c>
      <c r="F232" s="21" t="s">
        <v>23</v>
      </c>
      <c r="G232" s="20">
        <v>45737</v>
      </c>
      <c r="H232" s="20">
        <v>45737</v>
      </c>
      <c r="I232" s="14">
        <f t="shared" si="9"/>
        <v>1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3</v>
      </c>
      <c r="P232" s="15">
        <v>0</v>
      </c>
      <c r="Q232" s="15">
        <v>3</v>
      </c>
    </row>
    <row r="233" spans="2:17" ht="30" x14ac:dyDescent="0.3">
      <c r="B233" s="11">
        <f t="shared" si="8"/>
        <v>227</v>
      </c>
      <c r="C233" s="21" t="s">
        <v>304</v>
      </c>
      <c r="D233" s="21" t="s">
        <v>208</v>
      </c>
      <c r="E233" s="21" t="s">
        <v>321</v>
      </c>
      <c r="F233" s="21" t="s">
        <v>23</v>
      </c>
      <c r="G233" s="20">
        <v>45738</v>
      </c>
      <c r="H233" s="20">
        <v>45738</v>
      </c>
      <c r="I233" s="14">
        <f t="shared" si="9"/>
        <v>1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1</v>
      </c>
      <c r="P233" s="15">
        <v>0</v>
      </c>
      <c r="Q233" s="15">
        <v>1</v>
      </c>
    </row>
    <row r="234" spans="2:17" ht="30" x14ac:dyDescent="0.3">
      <c r="B234" s="11">
        <f t="shared" si="8"/>
        <v>228</v>
      </c>
      <c r="C234" s="21" t="s">
        <v>304</v>
      </c>
      <c r="D234" s="21" t="s">
        <v>208</v>
      </c>
      <c r="E234" s="21" t="s">
        <v>321</v>
      </c>
      <c r="F234" s="21" t="s">
        <v>23</v>
      </c>
      <c r="G234" s="20">
        <v>45736</v>
      </c>
      <c r="H234" s="20">
        <v>45736</v>
      </c>
      <c r="I234" s="14">
        <f t="shared" si="9"/>
        <v>1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</row>
  </sheetData>
  <sheetProtection formatCells="0" formatColumns="0" formatRows="0" autoFilter="0"/>
  <autoFilter ref="B6:Q234"/>
  <mergeCells count="4">
    <mergeCell ref="C2:Q2"/>
    <mergeCell ref="G4:H4"/>
    <mergeCell ref="J4:Q4"/>
    <mergeCell ref="G5:H5"/>
  </mergeCells>
  <pageMargins left="0.25" right="0.25" top="0.75" bottom="0.75" header="0.3" footer="0.3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8"/>
  <sheetViews>
    <sheetView topLeftCell="A43" workbookViewId="0">
      <selection activeCell="K4" sqref="K4"/>
    </sheetView>
  </sheetViews>
  <sheetFormatPr defaultRowHeight="14.4" x14ac:dyDescent="0.3"/>
  <cols>
    <col min="2" max="2" width="0" hidden="1" customWidth="1"/>
    <col min="4" max="4" width="45.6640625" customWidth="1"/>
    <col min="5" max="5" width="28.88671875" customWidth="1"/>
    <col min="6" max="6" width="16.6640625" customWidth="1"/>
    <col min="7" max="7" width="21.109375" customWidth="1"/>
    <col min="8" max="8" width="16.33203125" customWidth="1"/>
    <col min="9" max="9" width="14.6640625" customWidth="1"/>
  </cols>
  <sheetData>
    <row r="2" spans="2:17" ht="33.75" customHeight="1" x14ac:dyDescent="0.3">
      <c r="C2" s="30" t="str">
        <f>"External Training Detail For Year 2024-25 ("&amp;K4&amp;")"</f>
        <v>External Training Detail For Year 2024-25 (GUVNL)</v>
      </c>
      <c r="D2" s="30"/>
      <c r="E2" s="30"/>
      <c r="F2" s="30"/>
      <c r="G2" s="30"/>
      <c r="H2" s="30"/>
      <c r="I2" s="30"/>
      <c r="J2" s="30"/>
      <c r="K2" s="30"/>
      <c r="L2" s="29"/>
      <c r="M2" s="29"/>
      <c r="N2" s="29"/>
      <c r="O2" s="29"/>
      <c r="P2" s="29"/>
      <c r="Q2" s="29"/>
    </row>
    <row r="4" spans="2:17" ht="31.2" x14ac:dyDescent="0.3">
      <c r="B4" s="9" t="s">
        <v>2</v>
      </c>
      <c r="C4" s="9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0" t="s">
        <v>10</v>
      </c>
    </row>
    <row r="5" spans="2:17" ht="30" x14ac:dyDescent="0.3">
      <c r="B5" s="11">
        <v>9</v>
      </c>
      <c r="C5" s="11">
        <v>1</v>
      </c>
      <c r="D5" s="12" t="s">
        <v>39</v>
      </c>
      <c r="E5" s="12" t="s">
        <v>22</v>
      </c>
      <c r="F5" s="12" t="s">
        <v>321</v>
      </c>
      <c r="G5" s="12" t="s">
        <v>23</v>
      </c>
      <c r="H5" s="16">
        <v>45428</v>
      </c>
      <c r="I5" s="16">
        <v>45429</v>
      </c>
      <c r="J5" s="14">
        <v>2</v>
      </c>
      <c r="K5" s="15">
        <v>2</v>
      </c>
    </row>
    <row r="6" spans="2:17" ht="30" x14ac:dyDescent="0.3">
      <c r="B6" s="11">
        <v>10</v>
      </c>
      <c r="C6" s="11">
        <v>2</v>
      </c>
      <c r="D6" s="12" t="s">
        <v>40</v>
      </c>
      <c r="E6" s="12" t="s">
        <v>41</v>
      </c>
      <c r="F6" s="12" t="s">
        <v>321</v>
      </c>
      <c r="G6" s="12" t="s">
        <v>23</v>
      </c>
      <c r="H6" s="16">
        <v>45463</v>
      </c>
      <c r="I6" s="16">
        <v>45464</v>
      </c>
      <c r="J6" s="14">
        <v>2</v>
      </c>
      <c r="K6" s="15">
        <v>2</v>
      </c>
    </row>
    <row r="7" spans="2:17" ht="30" x14ac:dyDescent="0.3">
      <c r="B7" s="11">
        <v>11</v>
      </c>
      <c r="C7" s="11">
        <v>3</v>
      </c>
      <c r="D7" s="12" t="s">
        <v>42</v>
      </c>
      <c r="E7" s="12" t="s">
        <v>38</v>
      </c>
      <c r="F7" s="12" t="s">
        <v>321</v>
      </c>
      <c r="G7" s="12" t="s">
        <v>23</v>
      </c>
      <c r="H7" s="16">
        <v>45462</v>
      </c>
      <c r="I7" s="16">
        <v>45462</v>
      </c>
      <c r="J7" s="14">
        <v>1</v>
      </c>
      <c r="K7" s="15">
        <v>2</v>
      </c>
    </row>
    <row r="8" spans="2:17" ht="30" x14ac:dyDescent="0.3">
      <c r="B8" s="11">
        <v>13</v>
      </c>
      <c r="C8" s="11">
        <v>4</v>
      </c>
      <c r="D8" s="12" t="s">
        <v>34</v>
      </c>
      <c r="E8" s="12" t="s">
        <v>35</v>
      </c>
      <c r="F8" s="12" t="s">
        <v>321</v>
      </c>
      <c r="G8" s="12" t="s">
        <v>36</v>
      </c>
      <c r="H8" s="16">
        <v>45461</v>
      </c>
      <c r="I8" s="16">
        <v>45465</v>
      </c>
      <c r="J8" s="14">
        <v>5</v>
      </c>
      <c r="K8" s="15">
        <v>2</v>
      </c>
    </row>
    <row r="9" spans="2:17" ht="15" x14ac:dyDescent="0.3">
      <c r="B9" s="11">
        <v>21</v>
      </c>
      <c r="C9" s="11">
        <v>5</v>
      </c>
      <c r="D9" s="14" t="s">
        <v>52</v>
      </c>
      <c r="E9" s="17" t="s">
        <v>53</v>
      </c>
      <c r="F9" s="14" t="s">
        <v>321</v>
      </c>
      <c r="G9" s="17" t="s">
        <v>54</v>
      </c>
      <c r="H9" s="2">
        <v>45439</v>
      </c>
      <c r="I9" s="2">
        <v>45444</v>
      </c>
      <c r="J9" s="14">
        <v>6</v>
      </c>
      <c r="K9" s="15">
        <v>4</v>
      </c>
    </row>
    <row r="10" spans="2:17" ht="15" x14ac:dyDescent="0.3">
      <c r="B10" s="11">
        <v>22</v>
      </c>
      <c r="C10" s="11">
        <v>6</v>
      </c>
      <c r="D10" s="14" t="s">
        <v>55</v>
      </c>
      <c r="E10" s="14" t="s">
        <v>56</v>
      </c>
      <c r="F10" s="14" t="s">
        <v>321</v>
      </c>
      <c r="G10" s="14" t="s">
        <v>57</v>
      </c>
      <c r="H10" s="13">
        <v>45451</v>
      </c>
      <c r="I10" s="13">
        <v>45455</v>
      </c>
      <c r="J10" s="14">
        <v>5</v>
      </c>
      <c r="K10" s="15">
        <v>4</v>
      </c>
    </row>
    <row r="11" spans="2:17" ht="30" x14ac:dyDescent="0.3">
      <c r="B11" s="11">
        <v>27</v>
      </c>
      <c r="C11" s="11">
        <v>7</v>
      </c>
      <c r="D11" s="12" t="s">
        <v>66</v>
      </c>
      <c r="E11" s="12" t="s">
        <v>67</v>
      </c>
      <c r="F11" s="12" t="s">
        <v>51</v>
      </c>
      <c r="G11" s="12" t="s">
        <v>68</v>
      </c>
      <c r="H11" s="16">
        <v>45450</v>
      </c>
      <c r="I11" s="16">
        <v>45466</v>
      </c>
      <c r="J11" s="14">
        <v>17</v>
      </c>
      <c r="K11" s="15">
        <v>4</v>
      </c>
    </row>
    <row r="12" spans="2:17" ht="30" x14ac:dyDescent="0.3">
      <c r="B12" s="11">
        <v>29</v>
      </c>
      <c r="C12" s="11">
        <v>8</v>
      </c>
      <c r="D12" s="12" t="s">
        <v>71</v>
      </c>
      <c r="E12" s="12" t="s">
        <v>72</v>
      </c>
      <c r="F12" s="12" t="s">
        <v>321</v>
      </c>
      <c r="G12" s="12" t="s">
        <v>24</v>
      </c>
      <c r="H12" s="16">
        <v>45450</v>
      </c>
      <c r="I12" s="16">
        <v>45451</v>
      </c>
      <c r="J12" s="14">
        <v>2</v>
      </c>
      <c r="K12" s="15">
        <v>3</v>
      </c>
    </row>
    <row r="13" spans="2:17" ht="60" x14ac:dyDescent="0.3">
      <c r="B13" s="11">
        <v>40</v>
      </c>
      <c r="C13" s="11">
        <v>9</v>
      </c>
      <c r="D13" s="12" t="s">
        <v>92</v>
      </c>
      <c r="E13" s="12" t="s">
        <v>93</v>
      </c>
      <c r="F13" s="12" t="s">
        <v>51</v>
      </c>
      <c r="G13" s="12" t="s">
        <v>68</v>
      </c>
      <c r="H13" s="16">
        <v>45470</v>
      </c>
      <c r="I13" s="16">
        <v>45484</v>
      </c>
      <c r="J13" s="14">
        <v>15</v>
      </c>
      <c r="K13" s="15">
        <v>3</v>
      </c>
    </row>
    <row r="14" spans="2:17" ht="30" x14ac:dyDescent="0.3">
      <c r="B14" s="11">
        <v>44</v>
      </c>
      <c r="C14" s="11">
        <v>10</v>
      </c>
      <c r="D14" s="12" t="s">
        <v>91</v>
      </c>
      <c r="E14" s="12" t="s">
        <v>19</v>
      </c>
      <c r="F14" s="12" t="s">
        <v>321</v>
      </c>
      <c r="G14" s="12" t="s">
        <v>29</v>
      </c>
      <c r="H14" s="16">
        <v>45509</v>
      </c>
      <c r="I14" s="16">
        <v>45513</v>
      </c>
      <c r="J14" s="14">
        <v>5</v>
      </c>
      <c r="K14" s="15">
        <v>1</v>
      </c>
    </row>
    <row r="15" spans="2:17" ht="45" x14ac:dyDescent="0.3">
      <c r="B15" s="11">
        <v>47</v>
      </c>
      <c r="C15" s="11">
        <v>11</v>
      </c>
      <c r="D15" s="12" t="s">
        <v>102</v>
      </c>
      <c r="E15" s="12" t="s">
        <v>32</v>
      </c>
      <c r="F15" s="12" t="s">
        <v>321</v>
      </c>
      <c r="G15" s="12" t="s">
        <v>79</v>
      </c>
      <c r="H15" s="16">
        <v>45478</v>
      </c>
      <c r="I15" s="16">
        <v>45478</v>
      </c>
      <c r="J15" s="14">
        <v>1</v>
      </c>
      <c r="K15" s="15">
        <v>3</v>
      </c>
    </row>
    <row r="16" spans="2:17" ht="45" x14ac:dyDescent="0.3">
      <c r="B16" s="11">
        <v>59</v>
      </c>
      <c r="C16" s="11">
        <v>12</v>
      </c>
      <c r="D16" s="12" t="s">
        <v>125</v>
      </c>
      <c r="E16" s="12" t="s">
        <v>22</v>
      </c>
      <c r="F16" s="12" t="s">
        <v>321</v>
      </c>
      <c r="G16" s="12" t="s">
        <v>23</v>
      </c>
      <c r="H16" s="16">
        <v>45498</v>
      </c>
      <c r="I16" s="16">
        <v>45499</v>
      </c>
      <c r="J16" s="14">
        <v>2</v>
      </c>
      <c r="K16" s="15">
        <v>2</v>
      </c>
    </row>
    <row r="17" spans="2:11" ht="30.6" x14ac:dyDescent="0.3">
      <c r="B17" s="11">
        <v>69</v>
      </c>
      <c r="C17" s="11">
        <v>13</v>
      </c>
      <c r="D17" s="28" t="s">
        <v>137</v>
      </c>
      <c r="E17" s="14" t="s">
        <v>138</v>
      </c>
      <c r="F17" s="14" t="s">
        <v>321</v>
      </c>
      <c r="G17" s="12" t="s">
        <v>139</v>
      </c>
      <c r="H17" s="16">
        <v>45481</v>
      </c>
      <c r="I17" s="16">
        <v>45485</v>
      </c>
      <c r="J17" s="14">
        <v>5</v>
      </c>
      <c r="K17" s="15">
        <v>5</v>
      </c>
    </row>
    <row r="18" spans="2:11" ht="30" x14ac:dyDescent="0.3">
      <c r="B18" s="11">
        <v>94</v>
      </c>
      <c r="C18" s="11">
        <v>14</v>
      </c>
      <c r="D18" s="12" t="s">
        <v>173</v>
      </c>
      <c r="E18" s="12" t="s">
        <v>38</v>
      </c>
      <c r="F18" s="12" t="s">
        <v>321</v>
      </c>
      <c r="G18" s="12" t="s">
        <v>107</v>
      </c>
      <c r="H18" s="16">
        <v>45545</v>
      </c>
      <c r="I18" s="16">
        <v>45546</v>
      </c>
      <c r="J18" s="14">
        <v>2</v>
      </c>
      <c r="K18" s="15">
        <v>3</v>
      </c>
    </row>
    <row r="19" spans="2:11" ht="30" x14ac:dyDescent="0.3">
      <c r="B19" s="11">
        <v>106</v>
      </c>
      <c r="C19" s="11">
        <v>15</v>
      </c>
      <c r="D19" s="12" t="s">
        <v>189</v>
      </c>
      <c r="E19" s="12" t="s">
        <v>190</v>
      </c>
      <c r="F19" s="12" t="s">
        <v>321</v>
      </c>
      <c r="G19" s="12" t="s">
        <v>23</v>
      </c>
      <c r="H19" s="16">
        <v>45565</v>
      </c>
      <c r="I19" s="16">
        <v>45565</v>
      </c>
      <c r="J19" s="14">
        <v>1</v>
      </c>
      <c r="K19" s="15">
        <v>2</v>
      </c>
    </row>
    <row r="20" spans="2:11" ht="30.6" x14ac:dyDescent="0.3">
      <c r="B20" s="11">
        <v>107</v>
      </c>
      <c r="C20" s="11">
        <v>16</v>
      </c>
      <c r="D20" s="28" t="s">
        <v>137</v>
      </c>
      <c r="E20" s="14" t="s">
        <v>138</v>
      </c>
      <c r="F20" s="14" t="s">
        <v>321</v>
      </c>
      <c r="G20" s="12" t="s">
        <v>139</v>
      </c>
      <c r="H20" s="16">
        <v>45558</v>
      </c>
      <c r="I20" s="16">
        <v>45562</v>
      </c>
      <c r="J20" s="14">
        <v>5</v>
      </c>
      <c r="K20" s="15">
        <v>4</v>
      </c>
    </row>
    <row r="21" spans="2:11" ht="15" x14ac:dyDescent="0.3">
      <c r="B21" s="11">
        <v>108</v>
      </c>
      <c r="C21" s="11">
        <v>17</v>
      </c>
      <c r="D21" s="12" t="s">
        <v>191</v>
      </c>
      <c r="E21" s="17" t="s">
        <v>53</v>
      </c>
      <c r="F21" s="12" t="s">
        <v>321</v>
      </c>
      <c r="G21" s="12" t="s">
        <v>54</v>
      </c>
      <c r="H21" s="16">
        <v>45586</v>
      </c>
      <c r="I21" s="16">
        <v>45591</v>
      </c>
      <c r="J21" s="14">
        <v>6</v>
      </c>
      <c r="K21" s="15">
        <v>2</v>
      </c>
    </row>
    <row r="22" spans="2:11" ht="30.6" x14ac:dyDescent="0.3">
      <c r="B22" s="11">
        <v>132</v>
      </c>
      <c r="C22" s="11">
        <v>18</v>
      </c>
      <c r="D22" s="24" t="s">
        <v>207</v>
      </c>
      <c r="E22" s="21" t="s">
        <v>208</v>
      </c>
      <c r="F22" s="24" t="s">
        <v>321</v>
      </c>
      <c r="G22" s="24" t="s">
        <v>57</v>
      </c>
      <c r="H22" s="16">
        <v>45610</v>
      </c>
      <c r="I22" s="16">
        <v>45611</v>
      </c>
      <c r="J22" s="14">
        <v>2</v>
      </c>
      <c r="K22" s="15">
        <v>2</v>
      </c>
    </row>
    <row r="23" spans="2:11" ht="30.6" x14ac:dyDescent="0.3">
      <c r="B23" s="11">
        <v>133</v>
      </c>
      <c r="C23" s="11">
        <v>19</v>
      </c>
      <c r="D23" s="24" t="s">
        <v>209</v>
      </c>
      <c r="E23" s="12" t="s">
        <v>210</v>
      </c>
      <c r="F23" s="24" t="s">
        <v>321</v>
      </c>
      <c r="G23" s="24" t="s">
        <v>211</v>
      </c>
      <c r="H23" s="16">
        <v>45614</v>
      </c>
      <c r="I23" s="16">
        <v>45618</v>
      </c>
      <c r="J23" s="14">
        <v>5</v>
      </c>
      <c r="K23" s="15">
        <v>3</v>
      </c>
    </row>
    <row r="24" spans="2:11" ht="30" x14ac:dyDescent="0.3">
      <c r="B24" s="11">
        <v>154</v>
      </c>
      <c r="C24" s="11">
        <v>20</v>
      </c>
      <c r="D24" s="12" t="s">
        <v>232</v>
      </c>
      <c r="E24" s="12" t="s">
        <v>233</v>
      </c>
      <c r="F24" s="12" t="s">
        <v>321</v>
      </c>
      <c r="G24" s="12" t="s">
        <v>23</v>
      </c>
      <c r="H24" s="16">
        <v>45628</v>
      </c>
      <c r="I24" s="16">
        <v>45628</v>
      </c>
      <c r="J24" s="14">
        <v>1</v>
      </c>
      <c r="K24" s="15">
        <v>2</v>
      </c>
    </row>
    <row r="25" spans="2:11" ht="15" x14ac:dyDescent="0.3">
      <c r="B25" s="11">
        <v>161</v>
      </c>
      <c r="C25" s="11">
        <v>21</v>
      </c>
      <c r="D25" s="12" t="s">
        <v>240</v>
      </c>
      <c r="E25" s="12" t="s">
        <v>241</v>
      </c>
      <c r="F25" s="12" t="s">
        <v>321</v>
      </c>
      <c r="G25" s="12" t="s">
        <v>79</v>
      </c>
      <c r="H25" s="16">
        <v>45664</v>
      </c>
      <c r="I25" s="16">
        <v>45665</v>
      </c>
      <c r="J25" s="14">
        <v>2</v>
      </c>
      <c r="K25" s="15">
        <v>4</v>
      </c>
    </row>
    <row r="26" spans="2:11" ht="30" x14ac:dyDescent="0.3">
      <c r="B26" s="11">
        <v>164</v>
      </c>
      <c r="C26" s="11">
        <v>22</v>
      </c>
      <c r="D26" s="12" t="s">
        <v>244</v>
      </c>
      <c r="E26" s="12" t="s">
        <v>38</v>
      </c>
      <c r="F26" s="12" t="s">
        <v>321</v>
      </c>
      <c r="G26" s="12" t="s">
        <v>23</v>
      </c>
      <c r="H26" s="16">
        <v>45678</v>
      </c>
      <c r="I26" s="16">
        <v>45679</v>
      </c>
      <c r="J26" s="14">
        <v>2</v>
      </c>
      <c r="K26" s="15">
        <v>2</v>
      </c>
    </row>
    <row r="27" spans="2:11" ht="30" x14ac:dyDescent="0.3">
      <c r="B27" s="11">
        <v>168</v>
      </c>
      <c r="C27" s="11">
        <v>23</v>
      </c>
      <c r="D27" s="12" t="s">
        <v>248</v>
      </c>
      <c r="E27" s="12" t="s">
        <v>249</v>
      </c>
      <c r="F27" s="12" t="s">
        <v>321</v>
      </c>
      <c r="G27" s="12" t="s">
        <v>24</v>
      </c>
      <c r="H27" s="16">
        <v>45665</v>
      </c>
      <c r="I27" s="16">
        <v>45665</v>
      </c>
      <c r="J27" s="14">
        <v>1</v>
      </c>
      <c r="K27" s="15">
        <v>4</v>
      </c>
    </row>
    <row r="28" spans="2:11" ht="30" x14ac:dyDescent="0.3">
      <c r="B28" s="11">
        <v>172</v>
      </c>
      <c r="C28" s="11">
        <v>24</v>
      </c>
      <c r="D28" s="12" t="s">
        <v>253</v>
      </c>
      <c r="E28" s="12" t="s">
        <v>254</v>
      </c>
      <c r="F28" s="12" t="s">
        <v>321</v>
      </c>
      <c r="G28" s="12" t="s">
        <v>30</v>
      </c>
      <c r="H28" s="16">
        <v>45684</v>
      </c>
      <c r="I28" s="16">
        <v>45689</v>
      </c>
      <c r="J28" s="14">
        <v>6</v>
      </c>
      <c r="K28" s="15">
        <v>1</v>
      </c>
    </row>
    <row r="29" spans="2:11" ht="15" x14ac:dyDescent="0.3">
      <c r="B29" s="11">
        <v>184</v>
      </c>
      <c r="C29" s="11">
        <v>25</v>
      </c>
      <c r="D29" s="14" t="s">
        <v>271</v>
      </c>
      <c r="E29" s="14" t="s">
        <v>272</v>
      </c>
      <c r="F29" s="14" t="s">
        <v>321</v>
      </c>
      <c r="G29" s="14" t="s">
        <v>24</v>
      </c>
      <c r="H29" s="13">
        <v>45680</v>
      </c>
      <c r="I29" s="13">
        <v>45680</v>
      </c>
      <c r="J29" s="14">
        <v>1</v>
      </c>
      <c r="K29" s="15">
        <v>4</v>
      </c>
    </row>
    <row r="30" spans="2:11" ht="15" x14ac:dyDescent="0.3">
      <c r="B30" s="11">
        <v>185</v>
      </c>
      <c r="C30" s="11">
        <v>26</v>
      </c>
      <c r="D30" s="14" t="s">
        <v>273</v>
      </c>
      <c r="E30" s="14" t="s">
        <v>272</v>
      </c>
      <c r="F30" s="14" t="s">
        <v>321</v>
      </c>
      <c r="G30" s="14" t="s">
        <v>24</v>
      </c>
      <c r="H30" s="13">
        <v>45680</v>
      </c>
      <c r="I30" s="13">
        <v>45680</v>
      </c>
      <c r="J30" s="14">
        <v>1</v>
      </c>
      <c r="K30" s="15">
        <v>4</v>
      </c>
    </row>
    <row r="31" spans="2:11" ht="30" x14ac:dyDescent="0.3">
      <c r="B31" s="11">
        <v>192</v>
      </c>
      <c r="C31" s="11">
        <v>27</v>
      </c>
      <c r="D31" s="14" t="s">
        <v>137</v>
      </c>
      <c r="E31" s="14" t="s">
        <v>138</v>
      </c>
      <c r="F31" s="14" t="s">
        <v>321</v>
      </c>
      <c r="G31" s="14" t="s">
        <v>139</v>
      </c>
      <c r="H31" s="13">
        <v>45717</v>
      </c>
      <c r="I31" s="13">
        <v>45721</v>
      </c>
      <c r="J31" s="14">
        <v>5</v>
      </c>
      <c r="K31" s="15">
        <v>5</v>
      </c>
    </row>
    <row r="32" spans="2:11" ht="15" x14ac:dyDescent="0.3">
      <c r="B32" s="11">
        <v>204</v>
      </c>
      <c r="C32" s="11">
        <v>28</v>
      </c>
      <c r="D32" s="21" t="s">
        <v>294</v>
      </c>
      <c r="E32" s="21" t="s">
        <v>295</v>
      </c>
      <c r="F32" s="21" t="s">
        <v>321</v>
      </c>
      <c r="G32" s="21" t="s">
        <v>296</v>
      </c>
      <c r="H32" s="20">
        <v>45712</v>
      </c>
      <c r="I32" s="20">
        <v>45716</v>
      </c>
      <c r="J32" s="14">
        <v>5</v>
      </c>
      <c r="K32" s="15">
        <v>1</v>
      </c>
    </row>
    <row r="33" spans="2:11" ht="30" x14ac:dyDescent="0.3">
      <c r="B33" s="11">
        <v>205</v>
      </c>
      <c r="C33" s="11">
        <v>29</v>
      </c>
      <c r="D33" s="21" t="s">
        <v>297</v>
      </c>
      <c r="E33" s="21" t="s">
        <v>298</v>
      </c>
      <c r="F33" s="21" t="s">
        <v>321</v>
      </c>
      <c r="G33" s="21" t="s">
        <v>24</v>
      </c>
      <c r="H33" s="20">
        <v>45713</v>
      </c>
      <c r="I33" s="20">
        <v>45713</v>
      </c>
      <c r="J33" s="14">
        <v>1</v>
      </c>
      <c r="K33" s="15">
        <v>9</v>
      </c>
    </row>
    <row r="34" spans="2:11" ht="15" x14ac:dyDescent="0.3">
      <c r="B34" s="11">
        <v>206</v>
      </c>
      <c r="C34" s="11">
        <v>30</v>
      </c>
      <c r="D34" s="21" t="s">
        <v>299</v>
      </c>
      <c r="E34" s="21" t="s">
        <v>182</v>
      </c>
      <c r="F34" s="21" t="s">
        <v>321</v>
      </c>
      <c r="G34" s="21" t="s">
        <v>23</v>
      </c>
      <c r="H34" s="20">
        <v>45712</v>
      </c>
      <c r="I34" s="20">
        <v>45713</v>
      </c>
      <c r="J34" s="14">
        <v>2</v>
      </c>
      <c r="K34" s="15">
        <v>1</v>
      </c>
    </row>
    <row r="35" spans="2:11" ht="32.4" x14ac:dyDescent="0.3">
      <c r="B35" s="11">
        <v>207</v>
      </c>
      <c r="C35" s="11">
        <v>31</v>
      </c>
      <c r="D35" s="27" t="s">
        <v>322</v>
      </c>
      <c r="E35" s="21" t="s">
        <v>300</v>
      </c>
      <c r="F35" s="21" t="s">
        <v>321</v>
      </c>
      <c r="G35" s="21" t="s">
        <v>23</v>
      </c>
      <c r="H35" s="20">
        <v>45712</v>
      </c>
      <c r="I35" s="20">
        <v>45713</v>
      </c>
      <c r="J35" s="14">
        <v>2</v>
      </c>
      <c r="K35" s="15">
        <v>1</v>
      </c>
    </row>
    <row r="36" spans="2:11" ht="30" x14ac:dyDescent="0.3">
      <c r="B36" s="11">
        <v>223</v>
      </c>
      <c r="C36" s="11">
        <v>32</v>
      </c>
      <c r="D36" s="14" t="s">
        <v>318</v>
      </c>
      <c r="E36" s="14" t="s">
        <v>319</v>
      </c>
      <c r="F36" s="14" t="s">
        <v>321</v>
      </c>
      <c r="G36" s="14" t="s">
        <v>320</v>
      </c>
      <c r="H36" s="13">
        <v>45734</v>
      </c>
      <c r="I36" s="13">
        <v>45738</v>
      </c>
      <c r="J36" s="14">
        <v>5</v>
      </c>
      <c r="K36" s="15">
        <v>10</v>
      </c>
    </row>
    <row r="37" spans="2:11" ht="30" x14ac:dyDescent="0.3">
      <c r="B37" s="11">
        <v>224</v>
      </c>
      <c r="C37" s="11">
        <v>33</v>
      </c>
      <c r="D37" s="14" t="s">
        <v>318</v>
      </c>
      <c r="E37" s="14" t="s">
        <v>319</v>
      </c>
      <c r="F37" s="14" t="s">
        <v>321</v>
      </c>
      <c r="G37" s="14" t="s">
        <v>320</v>
      </c>
      <c r="H37" s="13">
        <v>45741</v>
      </c>
      <c r="I37" s="13">
        <v>45745</v>
      </c>
      <c r="J37" s="14">
        <v>5</v>
      </c>
      <c r="K37" s="15">
        <v>4</v>
      </c>
    </row>
    <row r="38" spans="2:11" ht="30" x14ac:dyDescent="0.3">
      <c r="B38" s="11">
        <v>225</v>
      </c>
      <c r="C38" s="11">
        <v>34</v>
      </c>
      <c r="D38" s="14" t="s">
        <v>318</v>
      </c>
      <c r="E38" s="14" t="s">
        <v>319</v>
      </c>
      <c r="F38" s="14" t="s">
        <v>321</v>
      </c>
      <c r="G38" s="14" t="s">
        <v>320</v>
      </c>
      <c r="H38" s="13">
        <v>45741</v>
      </c>
      <c r="I38" s="13">
        <v>45745</v>
      </c>
      <c r="J38" s="14">
        <v>5</v>
      </c>
      <c r="K38" s="15">
        <v>3</v>
      </c>
    </row>
  </sheetData>
  <mergeCells count="1">
    <mergeCell ref="C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5"/>
  <sheetViews>
    <sheetView topLeftCell="A49" workbookViewId="0">
      <selection activeCell="K28" sqref="K28"/>
    </sheetView>
  </sheetViews>
  <sheetFormatPr defaultRowHeight="14.4" x14ac:dyDescent="0.3"/>
  <cols>
    <col min="2" max="2" width="0" hidden="1" customWidth="1"/>
    <col min="3" max="3" width="20.5546875" customWidth="1"/>
    <col min="4" max="4" width="53.109375" customWidth="1"/>
    <col min="5" max="5" width="40" customWidth="1"/>
    <col min="6" max="6" width="16.33203125" customWidth="1"/>
    <col min="7" max="7" width="16.44140625" customWidth="1"/>
    <col min="8" max="8" width="21.44140625" customWidth="1"/>
    <col min="9" max="9" width="15.5546875" customWidth="1"/>
  </cols>
  <sheetData>
    <row r="2" spans="2:11" ht="33.75" customHeight="1" x14ac:dyDescent="0.3">
      <c r="C2" s="30" t="str">
        <f>"External Training Detail For Year 2024-25 ("&amp;K4&amp;")"</f>
        <v>External Training Detail For Year 2024-25 (GETCO)</v>
      </c>
      <c r="D2" s="30"/>
      <c r="E2" s="30"/>
      <c r="F2" s="30"/>
      <c r="G2" s="30"/>
      <c r="H2" s="30"/>
      <c r="I2" s="30"/>
      <c r="J2" s="30"/>
      <c r="K2" s="30"/>
    </row>
    <row r="4" spans="2:11" ht="31.2" x14ac:dyDescent="0.3">
      <c r="B4" s="9" t="s">
        <v>2</v>
      </c>
      <c r="C4" s="9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0" t="s">
        <v>11</v>
      </c>
    </row>
    <row r="5" spans="2:11" ht="45" x14ac:dyDescent="0.3">
      <c r="B5" s="11">
        <v>1</v>
      </c>
      <c r="C5" s="11">
        <v>1</v>
      </c>
      <c r="D5" s="12" t="s">
        <v>18</v>
      </c>
      <c r="E5" s="12" t="s">
        <v>19</v>
      </c>
      <c r="F5" s="12" t="s">
        <v>321</v>
      </c>
      <c r="G5" s="12" t="s">
        <v>20</v>
      </c>
      <c r="H5" s="13">
        <v>45411</v>
      </c>
      <c r="I5" s="13">
        <v>45436</v>
      </c>
      <c r="J5" s="14">
        <v>26</v>
      </c>
      <c r="K5" s="15">
        <v>5</v>
      </c>
    </row>
    <row r="6" spans="2:11" ht="45" x14ac:dyDescent="0.3">
      <c r="B6" s="11">
        <v>2</v>
      </c>
      <c r="C6" s="11">
        <v>2</v>
      </c>
      <c r="D6" s="12" t="s">
        <v>21</v>
      </c>
      <c r="E6" s="14" t="s">
        <v>22</v>
      </c>
      <c r="F6" s="12" t="s">
        <v>321</v>
      </c>
      <c r="G6" s="12" t="s">
        <v>24</v>
      </c>
      <c r="H6" s="16">
        <v>45407</v>
      </c>
      <c r="I6" s="16">
        <v>45408</v>
      </c>
      <c r="J6" s="14">
        <v>2</v>
      </c>
      <c r="K6" s="15">
        <v>7</v>
      </c>
    </row>
    <row r="7" spans="2:11" ht="45" x14ac:dyDescent="0.3">
      <c r="B7" s="11">
        <v>3</v>
      </c>
      <c r="C7" s="11">
        <v>3</v>
      </c>
      <c r="D7" s="12" t="s">
        <v>25</v>
      </c>
      <c r="E7" s="12" t="s">
        <v>26</v>
      </c>
      <c r="F7" s="12" t="s">
        <v>321</v>
      </c>
      <c r="G7" s="12" t="s">
        <v>24</v>
      </c>
      <c r="H7" s="16">
        <v>45401</v>
      </c>
      <c r="I7" s="16">
        <v>45402</v>
      </c>
      <c r="J7" s="14">
        <v>2</v>
      </c>
      <c r="K7" s="15">
        <v>2</v>
      </c>
    </row>
    <row r="8" spans="2:11" ht="45" x14ac:dyDescent="0.3">
      <c r="B8" s="11">
        <v>4</v>
      </c>
      <c r="C8" s="11">
        <v>4</v>
      </c>
      <c r="D8" s="12" t="s">
        <v>27</v>
      </c>
      <c r="E8" s="12" t="s">
        <v>22</v>
      </c>
      <c r="F8" s="12" t="s">
        <v>321</v>
      </c>
      <c r="G8" s="12" t="s">
        <v>23</v>
      </c>
      <c r="H8" s="16">
        <v>45408</v>
      </c>
      <c r="I8" s="16">
        <v>45408</v>
      </c>
      <c r="J8" s="14">
        <v>1</v>
      </c>
      <c r="K8" s="15">
        <v>3</v>
      </c>
    </row>
    <row r="9" spans="2:11" ht="30" x14ac:dyDescent="0.3">
      <c r="B9" s="11">
        <v>9</v>
      </c>
      <c r="C9" s="11">
        <v>5</v>
      </c>
      <c r="D9" s="12" t="s">
        <v>39</v>
      </c>
      <c r="E9" s="12" t="s">
        <v>22</v>
      </c>
      <c r="F9" s="12" t="s">
        <v>321</v>
      </c>
      <c r="G9" s="12" t="s">
        <v>23</v>
      </c>
      <c r="H9" s="16">
        <v>45428</v>
      </c>
      <c r="I9" s="16">
        <v>45429</v>
      </c>
      <c r="J9" s="14">
        <v>2</v>
      </c>
      <c r="K9" s="15">
        <v>4</v>
      </c>
    </row>
    <row r="10" spans="2:11" ht="15" x14ac:dyDescent="0.3">
      <c r="B10" s="11">
        <v>21</v>
      </c>
      <c r="C10" s="11">
        <v>6</v>
      </c>
      <c r="D10" s="14" t="s">
        <v>52</v>
      </c>
      <c r="E10" s="17" t="s">
        <v>53</v>
      </c>
      <c r="F10" s="14" t="s">
        <v>321</v>
      </c>
      <c r="G10" s="17" t="s">
        <v>54</v>
      </c>
      <c r="H10" s="2">
        <v>45439</v>
      </c>
      <c r="I10" s="2">
        <v>45444</v>
      </c>
      <c r="J10" s="14">
        <v>6</v>
      </c>
      <c r="K10" s="15">
        <v>4</v>
      </c>
    </row>
    <row r="11" spans="2:11" ht="15" x14ac:dyDescent="0.3">
      <c r="B11" s="11">
        <v>22</v>
      </c>
      <c r="C11" s="11">
        <v>7</v>
      </c>
      <c r="D11" s="14" t="s">
        <v>55</v>
      </c>
      <c r="E11" s="14" t="s">
        <v>56</v>
      </c>
      <c r="F11" s="14" t="s">
        <v>321</v>
      </c>
      <c r="G11" s="14" t="s">
        <v>57</v>
      </c>
      <c r="H11" s="13">
        <v>45451</v>
      </c>
      <c r="I11" s="13">
        <v>45455</v>
      </c>
      <c r="J11" s="14">
        <v>5</v>
      </c>
      <c r="K11" s="15">
        <v>4</v>
      </c>
    </row>
    <row r="12" spans="2:11" ht="45" x14ac:dyDescent="0.3">
      <c r="B12" s="11">
        <v>24</v>
      </c>
      <c r="C12" s="11">
        <v>8</v>
      </c>
      <c r="D12" s="12" t="s">
        <v>60</v>
      </c>
      <c r="E12" s="12" t="s">
        <v>19</v>
      </c>
      <c r="F12" s="12" t="s">
        <v>321</v>
      </c>
      <c r="G12" s="12" t="s">
        <v>61</v>
      </c>
      <c r="H12" s="16">
        <v>45446</v>
      </c>
      <c r="I12" s="16">
        <v>45520</v>
      </c>
      <c r="J12" s="14">
        <v>75</v>
      </c>
      <c r="K12" s="15">
        <v>2</v>
      </c>
    </row>
    <row r="13" spans="2:11" ht="30" x14ac:dyDescent="0.3">
      <c r="B13" s="11">
        <v>39</v>
      </c>
      <c r="C13" s="11">
        <v>9</v>
      </c>
      <c r="D13" s="12" t="s">
        <v>91</v>
      </c>
      <c r="E13" s="12" t="s">
        <v>19</v>
      </c>
      <c r="F13" s="12" t="s">
        <v>321</v>
      </c>
      <c r="G13" s="12" t="s">
        <v>29</v>
      </c>
      <c r="H13" s="16">
        <v>45467</v>
      </c>
      <c r="I13" s="16">
        <v>45471</v>
      </c>
      <c r="J13" s="14">
        <v>5</v>
      </c>
      <c r="K13" s="15">
        <v>1</v>
      </c>
    </row>
    <row r="14" spans="2:11" ht="30" x14ac:dyDescent="0.3">
      <c r="B14" s="11">
        <v>44</v>
      </c>
      <c r="C14" s="11">
        <v>10</v>
      </c>
      <c r="D14" s="12" t="s">
        <v>91</v>
      </c>
      <c r="E14" s="12" t="s">
        <v>19</v>
      </c>
      <c r="F14" s="12" t="s">
        <v>321</v>
      </c>
      <c r="G14" s="12" t="s">
        <v>29</v>
      </c>
      <c r="H14" s="16">
        <v>45509</v>
      </c>
      <c r="I14" s="16">
        <v>45513</v>
      </c>
      <c r="J14" s="14">
        <v>5</v>
      </c>
      <c r="K14" s="15">
        <v>1</v>
      </c>
    </row>
    <row r="15" spans="2:11" ht="45" x14ac:dyDescent="0.3">
      <c r="B15" s="11">
        <v>47</v>
      </c>
      <c r="C15" s="11">
        <v>11</v>
      </c>
      <c r="D15" s="12" t="s">
        <v>102</v>
      </c>
      <c r="E15" s="12" t="s">
        <v>32</v>
      </c>
      <c r="F15" s="12" t="s">
        <v>321</v>
      </c>
      <c r="G15" s="12" t="s">
        <v>79</v>
      </c>
      <c r="H15" s="16">
        <v>45478</v>
      </c>
      <c r="I15" s="16">
        <v>45478</v>
      </c>
      <c r="J15" s="14">
        <v>1</v>
      </c>
      <c r="K15" s="15">
        <v>1</v>
      </c>
    </row>
    <row r="16" spans="2:11" ht="45" x14ac:dyDescent="0.3">
      <c r="B16" s="11">
        <v>53</v>
      </c>
      <c r="C16" s="11">
        <v>12</v>
      </c>
      <c r="D16" s="12" t="s">
        <v>114</v>
      </c>
      <c r="E16" s="12" t="s">
        <v>115</v>
      </c>
      <c r="F16" s="12" t="s">
        <v>321</v>
      </c>
      <c r="G16" s="12" t="s">
        <v>24</v>
      </c>
      <c r="H16" s="16">
        <v>45488</v>
      </c>
      <c r="I16" s="16">
        <v>45527</v>
      </c>
      <c r="J16" s="14">
        <v>40</v>
      </c>
      <c r="K16" s="15">
        <v>4</v>
      </c>
    </row>
    <row r="17" spans="2:11" ht="30" x14ac:dyDescent="0.3">
      <c r="B17" s="11">
        <v>58</v>
      </c>
      <c r="C17" s="11">
        <v>13</v>
      </c>
      <c r="D17" s="12" t="s">
        <v>124</v>
      </c>
      <c r="E17" s="12" t="s">
        <v>22</v>
      </c>
      <c r="F17" s="12" t="s">
        <v>321</v>
      </c>
      <c r="G17" s="12" t="s">
        <v>107</v>
      </c>
      <c r="H17" s="16">
        <v>45498</v>
      </c>
      <c r="I17" s="16">
        <v>45499</v>
      </c>
      <c r="J17" s="14">
        <v>2</v>
      </c>
      <c r="K17" s="15">
        <v>4</v>
      </c>
    </row>
    <row r="18" spans="2:11" ht="30" x14ac:dyDescent="0.3">
      <c r="B18" s="11">
        <v>60</v>
      </c>
      <c r="C18" s="11">
        <v>14</v>
      </c>
      <c r="D18" s="12" t="s">
        <v>126</v>
      </c>
      <c r="E18" s="12" t="s">
        <v>127</v>
      </c>
      <c r="F18" s="12" t="s">
        <v>321</v>
      </c>
      <c r="G18" s="12" t="s">
        <v>128</v>
      </c>
      <c r="H18" s="16">
        <v>45502</v>
      </c>
      <c r="I18" s="16">
        <v>45503</v>
      </c>
      <c r="J18" s="14">
        <v>2</v>
      </c>
      <c r="K18" s="15">
        <v>3</v>
      </c>
    </row>
    <row r="19" spans="2:11" ht="15.6" x14ac:dyDescent="0.3">
      <c r="B19" s="11">
        <v>69</v>
      </c>
      <c r="C19" s="11">
        <v>15</v>
      </c>
      <c r="D19" s="22" t="s">
        <v>137</v>
      </c>
      <c r="E19" s="14" t="s">
        <v>138</v>
      </c>
      <c r="F19" s="14" t="s">
        <v>321</v>
      </c>
      <c r="G19" s="12" t="s">
        <v>139</v>
      </c>
      <c r="H19" s="16">
        <v>45481</v>
      </c>
      <c r="I19" s="16">
        <v>45485</v>
      </c>
      <c r="J19" s="14">
        <v>5</v>
      </c>
      <c r="K19" s="15">
        <v>4</v>
      </c>
    </row>
    <row r="20" spans="2:11" ht="30" x14ac:dyDescent="0.3">
      <c r="B20" s="11">
        <v>72</v>
      </c>
      <c r="C20" s="11">
        <v>16</v>
      </c>
      <c r="D20" s="12" t="s">
        <v>144</v>
      </c>
      <c r="E20" s="12" t="s">
        <v>70</v>
      </c>
      <c r="F20" s="12" t="s">
        <v>321</v>
      </c>
      <c r="G20" s="12" t="s">
        <v>23</v>
      </c>
      <c r="H20" s="16">
        <v>45533</v>
      </c>
      <c r="I20" s="16">
        <v>45534</v>
      </c>
      <c r="J20" s="14">
        <v>2</v>
      </c>
      <c r="K20" s="15">
        <v>1</v>
      </c>
    </row>
    <row r="21" spans="2:11" ht="30" x14ac:dyDescent="0.3">
      <c r="B21" s="11">
        <v>82</v>
      </c>
      <c r="C21" s="11">
        <v>17</v>
      </c>
      <c r="D21" s="12" t="s">
        <v>157</v>
      </c>
      <c r="E21" s="12" t="s">
        <v>38</v>
      </c>
      <c r="F21" s="12" t="s">
        <v>321</v>
      </c>
      <c r="G21" s="12" t="s">
        <v>158</v>
      </c>
      <c r="H21" s="16">
        <v>45510</v>
      </c>
      <c r="I21" s="16">
        <v>45510</v>
      </c>
      <c r="J21" s="14">
        <v>1</v>
      </c>
      <c r="K21" s="15">
        <v>3</v>
      </c>
    </row>
    <row r="22" spans="2:11" ht="15" x14ac:dyDescent="0.3">
      <c r="B22" s="11">
        <v>88</v>
      </c>
      <c r="C22" s="11">
        <v>18</v>
      </c>
      <c r="D22" s="12" t="s">
        <v>166</v>
      </c>
      <c r="E22" s="12" t="s">
        <v>19</v>
      </c>
      <c r="F22" s="12" t="s">
        <v>321</v>
      </c>
      <c r="G22" s="12" t="s">
        <v>29</v>
      </c>
      <c r="H22" s="16">
        <v>45525</v>
      </c>
      <c r="I22" s="16">
        <v>45527</v>
      </c>
      <c r="J22" s="14">
        <v>3</v>
      </c>
      <c r="K22" s="15">
        <v>3</v>
      </c>
    </row>
    <row r="23" spans="2:11" ht="15" x14ac:dyDescent="0.3">
      <c r="B23" s="11">
        <v>91</v>
      </c>
      <c r="C23" s="11">
        <v>19</v>
      </c>
      <c r="D23" s="12" t="s">
        <v>170</v>
      </c>
      <c r="E23" s="12" t="s">
        <v>19</v>
      </c>
      <c r="F23" s="12" t="s">
        <v>321</v>
      </c>
      <c r="G23" s="12" t="s">
        <v>61</v>
      </c>
      <c r="H23" s="16">
        <v>45509</v>
      </c>
      <c r="I23" s="16">
        <v>45513</v>
      </c>
      <c r="J23" s="14">
        <v>5</v>
      </c>
      <c r="K23" s="15">
        <v>2</v>
      </c>
    </row>
    <row r="24" spans="2:11" ht="30" x14ac:dyDescent="0.3">
      <c r="B24" s="11">
        <v>92</v>
      </c>
      <c r="C24" s="11">
        <v>20</v>
      </c>
      <c r="D24" s="12" t="s">
        <v>171</v>
      </c>
      <c r="E24" s="14" t="s">
        <v>22</v>
      </c>
      <c r="F24" s="12" t="s">
        <v>321</v>
      </c>
      <c r="G24" s="12" t="s">
        <v>23</v>
      </c>
      <c r="H24" s="16">
        <v>45491</v>
      </c>
      <c r="I24" s="16">
        <v>45492</v>
      </c>
      <c r="J24" s="14">
        <v>2</v>
      </c>
      <c r="K24" s="15">
        <v>3</v>
      </c>
    </row>
    <row r="25" spans="2:11" ht="15" x14ac:dyDescent="0.3">
      <c r="B25" s="11">
        <v>94</v>
      </c>
      <c r="C25" s="11">
        <v>21</v>
      </c>
      <c r="D25" s="12" t="s">
        <v>173</v>
      </c>
      <c r="E25" s="12" t="s">
        <v>38</v>
      </c>
      <c r="F25" s="12" t="s">
        <v>321</v>
      </c>
      <c r="G25" s="12" t="s">
        <v>107</v>
      </c>
      <c r="H25" s="16">
        <v>45545</v>
      </c>
      <c r="I25" s="16">
        <v>45546</v>
      </c>
      <c r="J25" s="14">
        <v>2</v>
      </c>
      <c r="K25" s="15">
        <v>5</v>
      </c>
    </row>
    <row r="26" spans="2:11" ht="15" x14ac:dyDescent="0.3">
      <c r="B26" s="11">
        <v>100</v>
      </c>
      <c r="C26" s="11">
        <v>22</v>
      </c>
      <c r="D26" s="12" t="s">
        <v>179</v>
      </c>
      <c r="E26" s="12" t="s">
        <v>180</v>
      </c>
      <c r="F26" s="12" t="s">
        <v>321</v>
      </c>
      <c r="G26" s="12" t="s">
        <v>79</v>
      </c>
      <c r="H26" s="16">
        <v>45538</v>
      </c>
      <c r="I26" s="16">
        <v>45539</v>
      </c>
      <c r="J26" s="14">
        <v>2</v>
      </c>
      <c r="K26" s="15">
        <v>5</v>
      </c>
    </row>
    <row r="27" spans="2:11" ht="31.2" x14ac:dyDescent="0.3">
      <c r="B27" s="11">
        <v>102</v>
      </c>
      <c r="C27" s="11">
        <v>23</v>
      </c>
      <c r="D27" s="23" t="s">
        <v>183</v>
      </c>
      <c r="E27" s="12" t="s">
        <v>85</v>
      </c>
      <c r="F27" s="12" t="s">
        <v>321</v>
      </c>
      <c r="G27" s="12" t="s">
        <v>64</v>
      </c>
      <c r="H27" s="16">
        <v>45558</v>
      </c>
      <c r="I27" s="16">
        <v>45562</v>
      </c>
      <c r="J27" s="14">
        <v>5</v>
      </c>
      <c r="K27" s="15">
        <v>1</v>
      </c>
    </row>
    <row r="28" spans="2:11" ht="30.6" x14ac:dyDescent="0.3">
      <c r="B28" s="11">
        <v>105</v>
      </c>
      <c r="C28" s="11">
        <v>24</v>
      </c>
      <c r="D28" s="24" t="s">
        <v>187</v>
      </c>
      <c r="E28" s="24" t="s">
        <v>188</v>
      </c>
      <c r="F28" s="24" t="s">
        <v>51</v>
      </c>
      <c r="G28" s="24" t="s">
        <v>68</v>
      </c>
      <c r="H28" s="16">
        <v>45561</v>
      </c>
      <c r="I28" s="16">
        <v>45561</v>
      </c>
      <c r="J28" s="14">
        <v>1</v>
      </c>
      <c r="K28" s="15">
        <v>18</v>
      </c>
    </row>
    <row r="29" spans="2:11" ht="15.6" x14ac:dyDescent="0.3">
      <c r="B29" s="11">
        <v>107</v>
      </c>
      <c r="C29" s="11">
        <v>25</v>
      </c>
      <c r="D29" s="22" t="s">
        <v>137</v>
      </c>
      <c r="E29" s="14" t="s">
        <v>138</v>
      </c>
      <c r="F29" s="14" t="s">
        <v>321</v>
      </c>
      <c r="G29" s="12" t="s">
        <v>139</v>
      </c>
      <c r="H29" s="16">
        <v>45558</v>
      </c>
      <c r="I29" s="16">
        <v>45562</v>
      </c>
      <c r="J29" s="14">
        <v>5</v>
      </c>
      <c r="K29" s="15">
        <v>4</v>
      </c>
    </row>
    <row r="30" spans="2:11" ht="15" x14ac:dyDescent="0.3">
      <c r="B30" s="11">
        <v>108</v>
      </c>
      <c r="C30" s="11">
        <v>26</v>
      </c>
      <c r="D30" s="12" t="s">
        <v>191</v>
      </c>
      <c r="E30" s="17" t="s">
        <v>53</v>
      </c>
      <c r="F30" s="12" t="s">
        <v>321</v>
      </c>
      <c r="G30" s="12" t="s">
        <v>54</v>
      </c>
      <c r="H30" s="16">
        <v>45586</v>
      </c>
      <c r="I30" s="16">
        <v>45591</v>
      </c>
      <c r="J30" s="14">
        <v>6</v>
      </c>
      <c r="K30" s="15">
        <v>6</v>
      </c>
    </row>
    <row r="31" spans="2:11" ht="30" x14ac:dyDescent="0.3">
      <c r="B31" s="11">
        <v>110</v>
      </c>
      <c r="C31" s="11">
        <v>27</v>
      </c>
      <c r="D31" s="12" t="s">
        <v>193</v>
      </c>
      <c r="E31" s="14" t="s">
        <v>22</v>
      </c>
      <c r="F31" s="12" t="s">
        <v>321</v>
      </c>
      <c r="G31" s="12" t="s">
        <v>23</v>
      </c>
      <c r="H31" s="16">
        <v>45572</v>
      </c>
      <c r="I31" s="16">
        <v>45573</v>
      </c>
      <c r="J31" s="14">
        <v>2</v>
      </c>
      <c r="K31" s="15">
        <v>3</v>
      </c>
    </row>
    <row r="32" spans="2:11" ht="15" x14ac:dyDescent="0.3">
      <c r="B32" s="11">
        <v>111</v>
      </c>
      <c r="C32" s="11">
        <v>28</v>
      </c>
      <c r="D32" s="12" t="s">
        <v>194</v>
      </c>
      <c r="E32" s="12" t="s">
        <v>38</v>
      </c>
      <c r="F32" s="12" t="s">
        <v>321</v>
      </c>
      <c r="G32" s="12" t="s">
        <v>23</v>
      </c>
      <c r="H32" s="16">
        <v>45572</v>
      </c>
      <c r="I32" s="16">
        <v>45573</v>
      </c>
      <c r="J32" s="14">
        <v>2</v>
      </c>
      <c r="K32" s="15">
        <v>7</v>
      </c>
    </row>
    <row r="33" spans="2:11" ht="30" x14ac:dyDescent="0.3">
      <c r="B33" s="11">
        <v>112</v>
      </c>
      <c r="C33" s="11">
        <v>29</v>
      </c>
      <c r="D33" s="12" t="s">
        <v>195</v>
      </c>
      <c r="E33" s="12" t="s">
        <v>59</v>
      </c>
      <c r="F33" s="12" t="s">
        <v>321</v>
      </c>
      <c r="G33" s="12" t="s">
        <v>24</v>
      </c>
      <c r="H33" s="16">
        <v>45580</v>
      </c>
      <c r="I33" s="16">
        <v>45581</v>
      </c>
      <c r="J33" s="14">
        <v>2</v>
      </c>
      <c r="K33" s="15">
        <v>8</v>
      </c>
    </row>
    <row r="34" spans="2:11" ht="15" x14ac:dyDescent="0.3">
      <c r="B34" s="11">
        <v>157</v>
      </c>
      <c r="C34" s="11">
        <v>30</v>
      </c>
      <c r="D34" s="12" t="s">
        <v>234</v>
      </c>
      <c r="E34" s="12" t="s">
        <v>19</v>
      </c>
      <c r="F34" s="12" t="s">
        <v>321</v>
      </c>
      <c r="G34" s="12" t="s">
        <v>61</v>
      </c>
      <c r="H34" s="16">
        <v>45635</v>
      </c>
      <c r="I34" s="16">
        <v>45639</v>
      </c>
      <c r="J34" s="14">
        <v>5</v>
      </c>
      <c r="K34" s="15">
        <v>3</v>
      </c>
    </row>
    <row r="35" spans="2:11" ht="30" x14ac:dyDescent="0.3">
      <c r="B35" s="11">
        <v>166</v>
      </c>
      <c r="C35" s="11">
        <v>31</v>
      </c>
      <c r="D35" s="12" t="s">
        <v>246</v>
      </c>
      <c r="E35" s="14" t="s">
        <v>22</v>
      </c>
      <c r="F35" s="12" t="s">
        <v>321</v>
      </c>
      <c r="G35" s="12" t="s">
        <v>23</v>
      </c>
      <c r="H35" s="16">
        <v>45687</v>
      </c>
      <c r="I35" s="16">
        <v>45688</v>
      </c>
      <c r="J35" s="14">
        <v>2</v>
      </c>
      <c r="K35" s="15">
        <v>2</v>
      </c>
    </row>
    <row r="36" spans="2:11" ht="30" x14ac:dyDescent="0.3">
      <c r="B36" s="11">
        <v>167</v>
      </c>
      <c r="C36" s="11">
        <v>32</v>
      </c>
      <c r="D36" s="12" t="s">
        <v>247</v>
      </c>
      <c r="E36" s="12" t="s">
        <v>19</v>
      </c>
      <c r="F36" s="12" t="s">
        <v>321</v>
      </c>
      <c r="G36" s="12" t="s">
        <v>61</v>
      </c>
      <c r="H36" s="16">
        <v>45663</v>
      </c>
      <c r="I36" s="16">
        <v>45737</v>
      </c>
      <c r="J36" s="14">
        <v>75</v>
      </c>
      <c r="K36" s="15">
        <v>3</v>
      </c>
    </row>
    <row r="37" spans="2:11" ht="15" x14ac:dyDescent="0.3">
      <c r="B37" s="11">
        <v>168</v>
      </c>
      <c r="C37" s="11">
        <v>33</v>
      </c>
      <c r="D37" s="12" t="s">
        <v>248</v>
      </c>
      <c r="E37" s="12" t="s">
        <v>249</v>
      </c>
      <c r="F37" s="12" t="s">
        <v>321</v>
      </c>
      <c r="G37" s="12" t="s">
        <v>24</v>
      </c>
      <c r="H37" s="16">
        <v>45665</v>
      </c>
      <c r="I37" s="16">
        <v>45665</v>
      </c>
      <c r="J37" s="14">
        <v>1</v>
      </c>
      <c r="K37" s="15">
        <v>7</v>
      </c>
    </row>
    <row r="38" spans="2:11" ht="45.6" x14ac:dyDescent="0.3">
      <c r="B38" s="11">
        <v>175</v>
      </c>
      <c r="C38" s="11">
        <v>34</v>
      </c>
      <c r="D38" s="25" t="s">
        <v>258</v>
      </c>
      <c r="E38" s="21" t="s">
        <v>259</v>
      </c>
      <c r="F38" s="21" t="s">
        <v>321</v>
      </c>
      <c r="G38" s="21" t="s">
        <v>23</v>
      </c>
      <c r="H38" s="20">
        <v>45681</v>
      </c>
      <c r="I38" s="20">
        <v>45681</v>
      </c>
      <c r="J38" s="14">
        <v>1</v>
      </c>
      <c r="K38" s="15">
        <v>2</v>
      </c>
    </row>
    <row r="39" spans="2:11" ht="15" x14ac:dyDescent="0.3">
      <c r="B39" s="11">
        <v>184</v>
      </c>
      <c r="C39" s="11">
        <v>35</v>
      </c>
      <c r="D39" s="14" t="s">
        <v>271</v>
      </c>
      <c r="E39" s="14" t="s">
        <v>272</v>
      </c>
      <c r="F39" s="14" t="s">
        <v>321</v>
      </c>
      <c r="G39" s="14" t="s">
        <v>24</v>
      </c>
      <c r="H39" s="13">
        <v>45680</v>
      </c>
      <c r="I39" s="13">
        <v>45680</v>
      </c>
      <c r="J39" s="14">
        <v>1</v>
      </c>
      <c r="K39" s="15">
        <v>7</v>
      </c>
    </row>
    <row r="40" spans="2:11" ht="15" x14ac:dyDescent="0.3">
      <c r="B40" s="11">
        <v>185</v>
      </c>
      <c r="C40" s="11">
        <v>36</v>
      </c>
      <c r="D40" s="14" t="s">
        <v>273</v>
      </c>
      <c r="E40" s="14" t="s">
        <v>272</v>
      </c>
      <c r="F40" s="14" t="s">
        <v>321</v>
      </c>
      <c r="G40" s="14" t="s">
        <v>24</v>
      </c>
      <c r="H40" s="13">
        <v>45680</v>
      </c>
      <c r="I40" s="13">
        <v>45680</v>
      </c>
      <c r="J40" s="14">
        <v>1</v>
      </c>
      <c r="K40" s="15">
        <v>6</v>
      </c>
    </row>
    <row r="41" spans="2:11" ht="30" x14ac:dyDescent="0.3">
      <c r="B41" s="11">
        <v>192</v>
      </c>
      <c r="C41" s="11">
        <v>37</v>
      </c>
      <c r="D41" s="14" t="s">
        <v>137</v>
      </c>
      <c r="E41" s="14" t="s">
        <v>138</v>
      </c>
      <c r="F41" s="14" t="s">
        <v>321</v>
      </c>
      <c r="G41" s="14" t="s">
        <v>139</v>
      </c>
      <c r="H41" s="13">
        <v>45717</v>
      </c>
      <c r="I41" s="13">
        <v>45721</v>
      </c>
      <c r="J41" s="14">
        <v>5</v>
      </c>
      <c r="K41" s="15">
        <v>4</v>
      </c>
    </row>
    <row r="42" spans="2:11" ht="30" x14ac:dyDescent="0.3">
      <c r="B42" s="11">
        <v>193</v>
      </c>
      <c r="C42" s="11">
        <v>38</v>
      </c>
      <c r="D42" s="21" t="s">
        <v>279</v>
      </c>
      <c r="E42" s="21" t="s">
        <v>182</v>
      </c>
      <c r="F42" s="21" t="s">
        <v>321</v>
      </c>
      <c r="G42" s="21" t="s">
        <v>36</v>
      </c>
      <c r="H42" s="20">
        <v>45710</v>
      </c>
      <c r="I42" s="20">
        <v>45714</v>
      </c>
      <c r="J42" s="14">
        <v>5</v>
      </c>
      <c r="K42" s="15">
        <v>34</v>
      </c>
    </row>
    <row r="43" spans="2:11" ht="15" x14ac:dyDescent="0.3">
      <c r="B43" s="11">
        <v>196</v>
      </c>
      <c r="C43" s="11">
        <v>39</v>
      </c>
      <c r="D43" s="21" t="s">
        <v>234</v>
      </c>
      <c r="E43" s="21" t="s">
        <v>19</v>
      </c>
      <c r="F43" s="21" t="s">
        <v>321</v>
      </c>
      <c r="G43" s="21" t="s">
        <v>61</v>
      </c>
      <c r="H43" s="20">
        <v>45698</v>
      </c>
      <c r="I43" s="20">
        <v>45702</v>
      </c>
      <c r="J43" s="14">
        <v>5</v>
      </c>
      <c r="K43" s="15">
        <v>3</v>
      </c>
    </row>
    <row r="44" spans="2:11" ht="15.6" x14ac:dyDescent="0.3">
      <c r="B44" s="11">
        <v>198</v>
      </c>
      <c r="C44" s="11">
        <v>40</v>
      </c>
      <c r="D44" s="25" t="s">
        <v>283</v>
      </c>
      <c r="E44" s="25" t="s">
        <v>284</v>
      </c>
      <c r="F44" s="21" t="s">
        <v>321</v>
      </c>
      <c r="G44" s="21" t="s">
        <v>118</v>
      </c>
      <c r="H44" s="20">
        <v>45699</v>
      </c>
      <c r="I44" s="20">
        <v>45699</v>
      </c>
      <c r="J44" s="14">
        <v>1</v>
      </c>
      <c r="K44" s="15">
        <v>4</v>
      </c>
    </row>
    <row r="45" spans="2:11" ht="30.6" x14ac:dyDescent="0.3">
      <c r="B45" s="11">
        <v>200</v>
      </c>
      <c r="C45" s="11">
        <v>41</v>
      </c>
      <c r="D45" s="25" t="s">
        <v>287</v>
      </c>
      <c r="E45" s="21" t="s">
        <v>288</v>
      </c>
      <c r="F45" s="25" t="s">
        <v>321</v>
      </c>
      <c r="G45" s="25" t="s">
        <v>79</v>
      </c>
      <c r="H45" s="20">
        <v>45701</v>
      </c>
      <c r="I45" s="20">
        <v>45702</v>
      </c>
      <c r="J45" s="14">
        <v>2</v>
      </c>
      <c r="K45" s="15">
        <v>1</v>
      </c>
    </row>
    <row r="46" spans="2:11" ht="15" x14ac:dyDescent="0.3">
      <c r="B46" s="11">
        <v>204</v>
      </c>
      <c r="C46" s="11">
        <v>42</v>
      </c>
      <c r="D46" s="21" t="s">
        <v>294</v>
      </c>
      <c r="E46" s="21" t="s">
        <v>295</v>
      </c>
      <c r="F46" s="21" t="s">
        <v>321</v>
      </c>
      <c r="G46" s="21" t="s">
        <v>296</v>
      </c>
      <c r="H46" s="20">
        <v>45712</v>
      </c>
      <c r="I46" s="20">
        <v>45716</v>
      </c>
      <c r="J46" s="14">
        <v>5</v>
      </c>
      <c r="K46" s="15">
        <v>1</v>
      </c>
    </row>
    <row r="47" spans="2:11" ht="15" x14ac:dyDescent="0.3">
      <c r="B47" s="11">
        <v>205</v>
      </c>
      <c r="C47" s="11">
        <v>43</v>
      </c>
      <c r="D47" s="21" t="s">
        <v>297</v>
      </c>
      <c r="E47" s="21" t="s">
        <v>298</v>
      </c>
      <c r="F47" s="21" t="s">
        <v>321</v>
      </c>
      <c r="G47" s="21" t="s">
        <v>24</v>
      </c>
      <c r="H47" s="20">
        <v>45713</v>
      </c>
      <c r="I47" s="20">
        <v>45713</v>
      </c>
      <c r="J47" s="14">
        <v>1</v>
      </c>
      <c r="K47" s="15">
        <v>12</v>
      </c>
    </row>
    <row r="48" spans="2:11" ht="15" x14ac:dyDescent="0.3">
      <c r="B48" s="11">
        <v>208</v>
      </c>
      <c r="C48" s="11">
        <v>44</v>
      </c>
      <c r="D48" s="21" t="s">
        <v>301</v>
      </c>
      <c r="E48" s="21" t="s">
        <v>165</v>
      </c>
      <c r="F48" s="21" t="s">
        <v>321</v>
      </c>
      <c r="G48" s="21" t="s">
        <v>24</v>
      </c>
      <c r="H48" s="20">
        <v>45703</v>
      </c>
      <c r="I48" s="20">
        <v>45703</v>
      </c>
      <c r="J48" s="14">
        <v>1</v>
      </c>
      <c r="K48" s="15">
        <v>5</v>
      </c>
    </row>
    <row r="49" spans="2:11" ht="15.6" x14ac:dyDescent="0.3">
      <c r="B49" s="11">
        <v>211</v>
      </c>
      <c r="C49" s="11">
        <v>45</v>
      </c>
      <c r="D49" s="25" t="s">
        <v>303</v>
      </c>
      <c r="E49" s="25" t="s">
        <v>259</v>
      </c>
      <c r="F49" s="25" t="s">
        <v>321</v>
      </c>
      <c r="G49" s="25" t="s">
        <v>23</v>
      </c>
      <c r="H49" s="20">
        <v>45720</v>
      </c>
      <c r="I49" s="20">
        <v>45720</v>
      </c>
      <c r="J49" s="14">
        <v>1</v>
      </c>
      <c r="K49" s="15">
        <v>4</v>
      </c>
    </row>
    <row r="50" spans="2:11" ht="15.6" x14ac:dyDescent="0.3">
      <c r="B50" s="11">
        <v>213</v>
      </c>
      <c r="C50" s="11">
        <v>46</v>
      </c>
      <c r="D50" s="25" t="s">
        <v>305</v>
      </c>
      <c r="E50" s="25" t="s">
        <v>306</v>
      </c>
      <c r="F50" s="21" t="s">
        <v>321</v>
      </c>
      <c r="G50" s="21" t="s">
        <v>23</v>
      </c>
      <c r="H50" s="20">
        <v>45726</v>
      </c>
      <c r="I50" s="20">
        <v>45727</v>
      </c>
      <c r="J50" s="14">
        <v>2</v>
      </c>
      <c r="K50" s="15">
        <v>2</v>
      </c>
    </row>
    <row r="51" spans="2:11" ht="15.6" x14ac:dyDescent="0.3">
      <c r="B51" s="11">
        <v>214</v>
      </c>
      <c r="C51" s="11">
        <v>47</v>
      </c>
      <c r="D51" s="25" t="s">
        <v>305</v>
      </c>
      <c r="E51" s="25" t="s">
        <v>306</v>
      </c>
      <c r="F51" s="21" t="s">
        <v>321</v>
      </c>
      <c r="G51" s="21" t="s">
        <v>23</v>
      </c>
      <c r="H51" s="20">
        <v>45726</v>
      </c>
      <c r="I51" s="20">
        <v>45727</v>
      </c>
      <c r="J51" s="14">
        <v>2</v>
      </c>
      <c r="K51" s="15">
        <v>2</v>
      </c>
    </row>
    <row r="52" spans="2:11" ht="30" x14ac:dyDescent="0.3">
      <c r="B52" s="11">
        <v>222</v>
      </c>
      <c r="C52" s="11">
        <v>48</v>
      </c>
      <c r="D52" s="21" t="s">
        <v>316</v>
      </c>
      <c r="E52" s="21" t="s">
        <v>317</v>
      </c>
      <c r="F52" s="21" t="s">
        <v>321</v>
      </c>
      <c r="G52" s="21" t="s">
        <v>79</v>
      </c>
      <c r="H52" s="20">
        <v>45740</v>
      </c>
      <c r="I52" s="20">
        <v>45741</v>
      </c>
      <c r="J52" s="14">
        <v>2</v>
      </c>
      <c r="K52" s="15">
        <v>5</v>
      </c>
    </row>
    <row r="53" spans="2:11" ht="30" x14ac:dyDescent="0.3">
      <c r="B53" s="11">
        <v>223</v>
      </c>
      <c r="C53" s="11">
        <v>49</v>
      </c>
      <c r="D53" s="14" t="s">
        <v>318</v>
      </c>
      <c r="E53" s="14" t="s">
        <v>319</v>
      </c>
      <c r="F53" s="14" t="s">
        <v>321</v>
      </c>
      <c r="G53" s="14" t="s">
        <v>320</v>
      </c>
      <c r="H53" s="13">
        <v>45734</v>
      </c>
      <c r="I53" s="13">
        <v>45738</v>
      </c>
      <c r="J53" s="14">
        <v>5</v>
      </c>
      <c r="K53" s="15">
        <v>5</v>
      </c>
    </row>
    <row r="54" spans="2:11" ht="30" x14ac:dyDescent="0.3">
      <c r="B54" s="11">
        <v>224</v>
      </c>
      <c r="C54" s="11">
        <v>50</v>
      </c>
      <c r="D54" s="14" t="s">
        <v>318</v>
      </c>
      <c r="E54" s="14" t="s">
        <v>319</v>
      </c>
      <c r="F54" s="14" t="s">
        <v>321</v>
      </c>
      <c r="G54" s="14" t="s">
        <v>320</v>
      </c>
      <c r="H54" s="13">
        <v>45741</v>
      </c>
      <c r="I54" s="13">
        <v>45745</v>
      </c>
      <c r="J54" s="14">
        <v>5</v>
      </c>
      <c r="K54" s="15">
        <v>8</v>
      </c>
    </row>
    <row r="55" spans="2:11" ht="30" x14ac:dyDescent="0.3">
      <c r="B55" s="11">
        <v>225</v>
      </c>
      <c r="C55" s="11">
        <v>51</v>
      </c>
      <c r="D55" s="14" t="s">
        <v>318</v>
      </c>
      <c r="E55" s="14" t="s">
        <v>319</v>
      </c>
      <c r="F55" s="14" t="s">
        <v>321</v>
      </c>
      <c r="G55" s="14" t="s">
        <v>320</v>
      </c>
      <c r="H55" s="13">
        <v>45741</v>
      </c>
      <c r="I55" s="13">
        <v>45745</v>
      </c>
      <c r="J55" s="14">
        <v>5</v>
      </c>
      <c r="K55" s="15">
        <v>9</v>
      </c>
    </row>
  </sheetData>
  <mergeCells count="1">
    <mergeCell ref="C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1"/>
  <sheetViews>
    <sheetView workbookViewId="0">
      <selection activeCell="K4" sqref="K4:K81"/>
    </sheetView>
  </sheetViews>
  <sheetFormatPr defaultRowHeight="14.4" x14ac:dyDescent="0.3"/>
  <cols>
    <col min="2" max="2" width="0" hidden="1" customWidth="1"/>
    <col min="4" max="4" width="35.33203125" customWidth="1"/>
    <col min="5" max="5" width="27.6640625" customWidth="1"/>
    <col min="6" max="6" width="15.88671875" customWidth="1"/>
    <col min="7" max="7" width="21.5546875" customWidth="1"/>
    <col min="8" max="8" width="19.44140625" customWidth="1"/>
    <col min="9" max="9" width="13.5546875" customWidth="1"/>
  </cols>
  <sheetData>
    <row r="2" spans="2:11" ht="33.75" customHeight="1" x14ac:dyDescent="0.3">
      <c r="C2" s="30" t="str">
        <f>"External Training Detail For Year 2024-25 ("&amp;K4&amp;")"</f>
        <v>External Training Detail For Year 2024-25 (GSECL)</v>
      </c>
      <c r="D2" s="30"/>
      <c r="E2" s="30"/>
      <c r="F2" s="30"/>
      <c r="G2" s="30"/>
      <c r="H2" s="30"/>
      <c r="I2" s="30"/>
      <c r="J2" s="30"/>
      <c r="K2" s="30"/>
    </row>
    <row r="4" spans="2:11" ht="31.2" x14ac:dyDescent="0.3">
      <c r="B4" s="9" t="s">
        <v>2</v>
      </c>
      <c r="C4" s="9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0" t="s">
        <v>12</v>
      </c>
    </row>
    <row r="5" spans="2:11" ht="45" x14ac:dyDescent="0.3">
      <c r="B5" s="11">
        <v>9</v>
      </c>
      <c r="C5" s="11">
        <v>1</v>
      </c>
      <c r="D5" s="12" t="s">
        <v>39</v>
      </c>
      <c r="E5" s="12" t="s">
        <v>22</v>
      </c>
      <c r="F5" s="12" t="s">
        <v>321</v>
      </c>
      <c r="G5" s="12" t="s">
        <v>23</v>
      </c>
      <c r="H5" s="16">
        <v>45428</v>
      </c>
      <c r="I5" s="16">
        <v>45429</v>
      </c>
      <c r="J5" s="14">
        <v>2</v>
      </c>
      <c r="K5" s="15">
        <v>9</v>
      </c>
    </row>
    <row r="6" spans="2:11" ht="30" x14ac:dyDescent="0.3">
      <c r="B6" s="11">
        <v>10</v>
      </c>
      <c r="C6" s="11">
        <v>2</v>
      </c>
      <c r="D6" s="12" t="s">
        <v>40</v>
      </c>
      <c r="E6" s="12" t="s">
        <v>41</v>
      </c>
      <c r="F6" s="12" t="s">
        <v>321</v>
      </c>
      <c r="G6" s="12" t="s">
        <v>23</v>
      </c>
      <c r="H6" s="16">
        <v>45463</v>
      </c>
      <c r="I6" s="16">
        <v>45464</v>
      </c>
      <c r="J6" s="14">
        <v>2</v>
      </c>
      <c r="K6" s="15">
        <v>6</v>
      </c>
    </row>
    <row r="7" spans="2:11" ht="30" x14ac:dyDescent="0.3">
      <c r="B7" s="11">
        <v>11</v>
      </c>
      <c r="C7" s="11">
        <v>3</v>
      </c>
      <c r="D7" s="12" t="s">
        <v>42</v>
      </c>
      <c r="E7" s="12" t="s">
        <v>38</v>
      </c>
      <c r="F7" s="12" t="s">
        <v>321</v>
      </c>
      <c r="G7" s="12" t="s">
        <v>23</v>
      </c>
      <c r="H7" s="16">
        <v>45462</v>
      </c>
      <c r="I7" s="16">
        <v>45462</v>
      </c>
      <c r="J7" s="14">
        <v>1</v>
      </c>
      <c r="K7" s="15">
        <v>8</v>
      </c>
    </row>
    <row r="8" spans="2:11" ht="45" x14ac:dyDescent="0.3">
      <c r="B8" s="11">
        <v>20</v>
      </c>
      <c r="C8" s="11">
        <v>4</v>
      </c>
      <c r="D8" s="12" t="s">
        <v>48</v>
      </c>
      <c r="E8" s="12" t="s">
        <v>49</v>
      </c>
      <c r="F8" s="12" t="s">
        <v>51</v>
      </c>
      <c r="G8" s="12" t="s">
        <v>51</v>
      </c>
      <c r="H8" s="16">
        <v>45434</v>
      </c>
      <c r="I8" s="16">
        <v>45434</v>
      </c>
      <c r="J8" s="14">
        <v>1</v>
      </c>
      <c r="K8" s="15">
        <v>25</v>
      </c>
    </row>
    <row r="9" spans="2:11" ht="30" x14ac:dyDescent="0.3">
      <c r="B9" s="11">
        <v>21</v>
      </c>
      <c r="C9" s="11">
        <v>5</v>
      </c>
      <c r="D9" s="14" t="s">
        <v>52</v>
      </c>
      <c r="E9" s="17" t="s">
        <v>53</v>
      </c>
      <c r="F9" s="14" t="s">
        <v>321</v>
      </c>
      <c r="G9" s="17" t="s">
        <v>54</v>
      </c>
      <c r="H9" s="2">
        <v>45439</v>
      </c>
      <c r="I9" s="2">
        <v>45444</v>
      </c>
      <c r="J9" s="14">
        <v>6</v>
      </c>
      <c r="K9" s="15">
        <v>5</v>
      </c>
    </row>
    <row r="10" spans="2:11" ht="30" x14ac:dyDescent="0.3">
      <c r="B10" s="11">
        <v>22</v>
      </c>
      <c r="C10" s="11">
        <v>6</v>
      </c>
      <c r="D10" s="14" t="s">
        <v>55</v>
      </c>
      <c r="E10" s="14" t="s">
        <v>56</v>
      </c>
      <c r="F10" s="14" t="s">
        <v>321</v>
      </c>
      <c r="G10" s="14" t="s">
        <v>57</v>
      </c>
      <c r="H10" s="13">
        <v>45451</v>
      </c>
      <c r="I10" s="13">
        <v>45455</v>
      </c>
      <c r="J10" s="14">
        <v>5</v>
      </c>
      <c r="K10" s="15">
        <v>4</v>
      </c>
    </row>
    <row r="11" spans="2:11" ht="45" x14ac:dyDescent="0.3">
      <c r="B11" s="11">
        <v>28</v>
      </c>
      <c r="C11" s="11">
        <v>7</v>
      </c>
      <c r="D11" s="12" t="s">
        <v>69</v>
      </c>
      <c r="E11" s="12" t="s">
        <v>70</v>
      </c>
      <c r="F11" s="12" t="s">
        <v>321</v>
      </c>
      <c r="G11" s="12" t="s">
        <v>23</v>
      </c>
      <c r="H11" s="16">
        <v>45456</v>
      </c>
      <c r="I11" s="16">
        <v>45457</v>
      </c>
      <c r="J11" s="14">
        <v>2</v>
      </c>
      <c r="K11" s="15">
        <v>14</v>
      </c>
    </row>
    <row r="12" spans="2:11" ht="30" x14ac:dyDescent="0.3">
      <c r="B12" s="11">
        <v>31</v>
      </c>
      <c r="C12" s="11">
        <v>8</v>
      </c>
      <c r="D12" s="12" t="s">
        <v>75</v>
      </c>
      <c r="E12" s="12" t="s">
        <v>76</v>
      </c>
      <c r="F12" s="12" t="s">
        <v>321</v>
      </c>
      <c r="G12" s="12" t="s">
        <v>77</v>
      </c>
      <c r="H12" s="16">
        <v>45453</v>
      </c>
      <c r="I12" s="16">
        <v>45462</v>
      </c>
      <c r="J12" s="14">
        <v>10</v>
      </c>
      <c r="K12" s="15">
        <v>2</v>
      </c>
    </row>
    <row r="13" spans="2:11" ht="45" x14ac:dyDescent="0.3">
      <c r="B13" s="11">
        <v>32</v>
      </c>
      <c r="C13" s="11">
        <v>9</v>
      </c>
      <c r="D13" s="12" t="s">
        <v>78</v>
      </c>
      <c r="E13" s="12" t="s">
        <v>32</v>
      </c>
      <c r="F13" s="12" t="s">
        <v>321</v>
      </c>
      <c r="G13" s="12" t="s">
        <v>79</v>
      </c>
      <c r="H13" s="16">
        <v>45464</v>
      </c>
      <c r="I13" s="16">
        <v>45464</v>
      </c>
      <c r="J13" s="14">
        <v>1</v>
      </c>
      <c r="K13" s="15">
        <v>2</v>
      </c>
    </row>
    <row r="14" spans="2:11" ht="30" x14ac:dyDescent="0.3">
      <c r="B14" s="11">
        <v>33</v>
      </c>
      <c r="C14" s="11">
        <v>10</v>
      </c>
      <c r="D14" s="12" t="s">
        <v>80</v>
      </c>
      <c r="E14" s="12" t="s">
        <v>81</v>
      </c>
      <c r="F14" s="12" t="s">
        <v>321</v>
      </c>
      <c r="G14" s="12" t="s">
        <v>24</v>
      </c>
      <c r="H14" s="16">
        <v>45441</v>
      </c>
      <c r="I14" s="16">
        <v>45443</v>
      </c>
      <c r="J14" s="14">
        <v>3</v>
      </c>
      <c r="K14" s="15">
        <v>8</v>
      </c>
    </row>
    <row r="15" spans="2:11" ht="60" x14ac:dyDescent="0.3">
      <c r="B15" s="11">
        <v>35</v>
      </c>
      <c r="C15" s="11">
        <v>11</v>
      </c>
      <c r="D15" s="12" t="s">
        <v>84</v>
      </c>
      <c r="E15" s="12" t="s">
        <v>85</v>
      </c>
      <c r="F15" s="12" t="s">
        <v>321</v>
      </c>
      <c r="G15" s="12" t="s">
        <v>64</v>
      </c>
      <c r="H15" s="16">
        <v>45461</v>
      </c>
      <c r="I15" s="16">
        <v>45464</v>
      </c>
      <c r="J15" s="14">
        <v>4</v>
      </c>
      <c r="K15" s="15">
        <v>5</v>
      </c>
    </row>
    <row r="16" spans="2:11" ht="30" x14ac:dyDescent="0.3">
      <c r="B16" s="11">
        <v>36</v>
      </c>
      <c r="C16" s="11">
        <v>12</v>
      </c>
      <c r="D16" s="12" t="s">
        <v>86</v>
      </c>
      <c r="E16" s="12" t="s">
        <v>87</v>
      </c>
      <c r="F16" s="12" t="s">
        <v>321</v>
      </c>
      <c r="G16" s="12" t="s">
        <v>23</v>
      </c>
      <c r="H16" s="16">
        <v>45462</v>
      </c>
      <c r="I16" s="16">
        <v>45463</v>
      </c>
      <c r="J16" s="14">
        <v>2</v>
      </c>
      <c r="K16" s="15">
        <v>6</v>
      </c>
    </row>
    <row r="17" spans="2:11" ht="45" x14ac:dyDescent="0.3">
      <c r="B17" s="11">
        <v>37</v>
      </c>
      <c r="C17" s="11">
        <v>13</v>
      </c>
      <c r="D17" s="12" t="s">
        <v>88</v>
      </c>
      <c r="E17" s="12" t="s">
        <v>49</v>
      </c>
      <c r="F17" s="12" t="s">
        <v>51</v>
      </c>
      <c r="G17" s="12" t="s">
        <v>68</v>
      </c>
      <c r="H17" s="16">
        <v>45463</v>
      </c>
      <c r="I17" s="16">
        <v>45463</v>
      </c>
      <c r="J17" s="14">
        <v>1</v>
      </c>
      <c r="K17" s="15">
        <v>7</v>
      </c>
    </row>
    <row r="18" spans="2:11" ht="45" x14ac:dyDescent="0.3">
      <c r="B18" s="11">
        <v>38</v>
      </c>
      <c r="C18" s="11">
        <v>14</v>
      </c>
      <c r="D18" s="12" t="s">
        <v>89</v>
      </c>
      <c r="E18" s="12" t="s">
        <v>90</v>
      </c>
      <c r="F18" s="12" t="s">
        <v>321</v>
      </c>
      <c r="G18" s="12" t="s">
        <v>23</v>
      </c>
      <c r="H18" s="16">
        <v>45461</v>
      </c>
      <c r="I18" s="16">
        <v>45464</v>
      </c>
      <c r="J18" s="14">
        <v>4</v>
      </c>
      <c r="K18" s="15">
        <v>1</v>
      </c>
    </row>
    <row r="19" spans="2:11" ht="45" x14ac:dyDescent="0.3">
      <c r="B19" s="11">
        <v>43</v>
      </c>
      <c r="C19" s="11">
        <v>15</v>
      </c>
      <c r="D19" s="12" t="s">
        <v>97</v>
      </c>
      <c r="E19" s="12" t="s">
        <v>85</v>
      </c>
      <c r="F19" s="12" t="s">
        <v>321</v>
      </c>
      <c r="G19" s="12" t="s">
        <v>64</v>
      </c>
      <c r="H19" s="16">
        <v>45481</v>
      </c>
      <c r="I19" s="16">
        <v>45485</v>
      </c>
      <c r="J19" s="14">
        <v>5</v>
      </c>
      <c r="K19" s="15">
        <v>6</v>
      </c>
    </row>
    <row r="20" spans="2:11" ht="45" x14ac:dyDescent="0.3">
      <c r="B20" s="11">
        <v>44</v>
      </c>
      <c r="C20" s="11">
        <v>16</v>
      </c>
      <c r="D20" s="12" t="s">
        <v>91</v>
      </c>
      <c r="E20" s="12" t="s">
        <v>19</v>
      </c>
      <c r="F20" s="12" t="s">
        <v>321</v>
      </c>
      <c r="G20" s="12" t="s">
        <v>29</v>
      </c>
      <c r="H20" s="16">
        <v>45509</v>
      </c>
      <c r="I20" s="16">
        <v>45513</v>
      </c>
      <c r="J20" s="14">
        <v>5</v>
      </c>
      <c r="K20" s="15">
        <v>1</v>
      </c>
    </row>
    <row r="21" spans="2:11" ht="30" x14ac:dyDescent="0.3">
      <c r="B21" s="11">
        <v>45</v>
      </c>
      <c r="C21" s="11">
        <v>17</v>
      </c>
      <c r="D21" s="12" t="s">
        <v>98</v>
      </c>
      <c r="E21" s="12" t="s">
        <v>38</v>
      </c>
      <c r="F21" s="12" t="s">
        <v>321</v>
      </c>
      <c r="G21" s="12" t="s">
        <v>23</v>
      </c>
      <c r="H21" s="16">
        <v>45476</v>
      </c>
      <c r="I21" s="16">
        <v>45477</v>
      </c>
      <c r="J21" s="14">
        <v>2</v>
      </c>
      <c r="K21" s="15">
        <v>9</v>
      </c>
    </row>
    <row r="22" spans="2:11" ht="30" x14ac:dyDescent="0.3">
      <c r="B22" s="11">
        <v>50</v>
      </c>
      <c r="C22" s="11">
        <v>18</v>
      </c>
      <c r="D22" s="12" t="s">
        <v>108</v>
      </c>
      <c r="E22" s="12" t="s">
        <v>22</v>
      </c>
      <c r="F22" s="12" t="s">
        <v>321</v>
      </c>
      <c r="G22" s="12" t="s">
        <v>24</v>
      </c>
      <c r="H22" s="16">
        <v>45483</v>
      </c>
      <c r="I22" s="16">
        <v>45485</v>
      </c>
      <c r="J22" s="14">
        <v>3</v>
      </c>
      <c r="K22" s="15">
        <v>10</v>
      </c>
    </row>
    <row r="23" spans="2:11" ht="45" x14ac:dyDescent="0.3">
      <c r="B23" s="11">
        <v>51</v>
      </c>
      <c r="C23" s="11">
        <v>19</v>
      </c>
      <c r="D23" s="12" t="s">
        <v>109</v>
      </c>
      <c r="E23" s="12" t="s">
        <v>110</v>
      </c>
      <c r="F23" s="12" t="s">
        <v>321</v>
      </c>
      <c r="G23" s="12" t="s">
        <v>24</v>
      </c>
      <c r="H23" s="16">
        <v>45484</v>
      </c>
      <c r="I23" s="16">
        <v>45485</v>
      </c>
      <c r="J23" s="14">
        <v>2</v>
      </c>
      <c r="K23" s="15">
        <v>10</v>
      </c>
    </row>
    <row r="24" spans="2:11" ht="30" x14ac:dyDescent="0.3">
      <c r="B24" s="11">
        <v>57</v>
      </c>
      <c r="C24" s="11">
        <v>20</v>
      </c>
      <c r="D24" s="12" t="s">
        <v>122</v>
      </c>
      <c r="E24" s="12" t="s">
        <v>123</v>
      </c>
      <c r="F24" s="12" t="s">
        <v>321</v>
      </c>
      <c r="G24" s="12" t="s">
        <v>118</v>
      </c>
      <c r="H24" s="16">
        <v>45491</v>
      </c>
      <c r="I24" s="16">
        <v>45493</v>
      </c>
      <c r="J24" s="14">
        <v>3</v>
      </c>
      <c r="K24" s="15">
        <v>6</v>
      </c>
    </row>
    <row r="25" spans="2:11" ht="45" x14ac:dyDescent="0.3">
      <c r="B25" s="11">
        <v>58</v>
      </c>
      <c r="C25" s="11">
        <v>21</v>
      </c>
      <c r="D25" s="12" t="s">
        <v>124</v>
      </c>
      <c r="E25" s="12" t="s">
        <v>22</v>
      </c>
      <c r="F25" s="12" t="s">
        <v>321</v>
      </c>
      <c r="G25" s="12" t="s">
        <v>107</v>
      </c>
      <c r="H25" s="16">
        <v>45498</v>
      </c>
      <c r="I25" s="16">
        <v>45499</v>
      </c>
      <c r="J25" s="14">
        <v>2</v>
      </c>
      <c r="K25" s="15">
        <v>7</v>
      </c>
    </row>
    <row r="26" spans="2:11" ht="60" x14ac:dyDescent="0.3">
      <c r="B26" s="11">
        <v>59</v>
      </c>
      <c r="C26" s="11">
        <v>22</v>
      </c>
      <c r="D26" s="12" t="s">
        <v>125</v>
      </c>
      <c r="E26" s="12" t="s">
        <v>22</v>
      </c>
      <c r="F26" s="12" t="s">
        <v>321</v>
      </c>
      <c r="G26" s="12" t="s">
        <v>23</v>
      </c>
      <c r="H26" s="16">
        <v>45498</v>
      </c>
      <c r="I26" s="16">
        <v>45499</v>
      </c>
      <c r="J26" s="14">
        <v>2</v>
      </c>
      <c r="K26" s="15">
        <v>4</v>
      </c>
    </row>
    <row r="27" spans="2:11" ht="45" x14ac:dyDescent="0.3">
      <c r="B27" s="11">
        <v>60</v>
      </c>
      <c r="C27" s="11">
        <v>23</v>
      </c>
      <c r="D27" s="12" t="s">
        <v>126</v>
      </c>
      <c r="E27" s="12" t="s">
        <v>127</v>
      </c>
      <c r="F27" s="12" t="s">
        <v>321</v>
      </c>
      <c r="G27" s="12" t="s">
        <v>128</v>
      </c>
      <c r="H27" s="16">
        <v>45502</v>
      </c>
      <c r="I27" s="16">
        <v>45503</v>
      </c>
      <c r="J27" s="14">
        <v>2</v>
      </c>
      <c r="K27" s="15">
        <v>5</v>
      </c>
    </row>
    <row r="28" spans="2:11" ht="15" x14ac:dyDescent="0.3">
      <c r="B28" s="11">
        <v>61</v>
      </c>
      <c r="C28" s="11">
        <v>24</v>
      </c>
      <c r="D28" s="12" t="s">
        <v>116</v>
      </c>
      <c r="E28" s="12" t="s">
        <v>117</v>
      </c>
      <c r="F28" s="12" t="s">
        <v>321</v>
      </c>
      <c r="G28" s="12" t="s">
        <v>118</v>
      </c>
      <c r="H28" s="16">
        <v>45502</v>
      </c>
      <c r="I28" s="16">
        <v>45504</v>
      </c>
      <c r="J28" s="14">
        <v>3</v>
      </c>
      <c r="K28" s="15">
        <v>7</v>
      </c>
    </row>
    <row r="29" spans="2:11" ht="15.6" x14ac:dyDescent="0.3">
      <c r="B29" s="11">
        <v>69</v>
      </c>
      <c r="C29" s="11">
        <v>25</v>
      </c>
      <c r="D29" s="22" t="s">
        <v>137</v>
      </c>
      <c r="E29" s="14" t="s">
        <v>138</v>
      </c>
      <c r="F29" s="14" t="s">
        <v>321</v>
      </c>
      <c r="G29" s="12" t="s">
        <v>139</v>
      </c>
      <c r="H29" s="16">
        <v>45481</v>
      </c>
      <c r="I29" s="16">
        <v>45485</v>
      </c>
      <c r="J29" s="14">
        <v>5</v>
      </c>
      <c r="K29" s="15">
        <v>4</v>
      </c>
    </row>
    <row r="30" spans="2:11" ht="45" x14ac:dyDescent="0.3">
      <c r="B30" s="11">
        <v>70</v>
      </c>
      <c r="C30" s="11">
        <v>26</v>
      </c>
      <c r="D30" s="12" t="s">
        <v>140</v>
      </c>
      <c r="E30" s="12" t="s">
        <v>141</v>
      </c>
      <c r="F30" s="12" t="s">
        <v>51</v>
      </c>
      <c r="G30" s="12" t="s">
        <v>68</v>
      </c>
      <c r="H30" s="16">
        <v>45474</v>
      </c>
      <c r="I30" s="16">
        <v>45565</v>
      </c>
      <c r="J30" s="14">
        <v>92</v>
      </c>
      <c r="K30" s="15">
        <v>1</v>
      </c>
    </row>
    <row r="31" spans="2:11" ht="30" x14ac:dyDescent="0.3">
      <c r="B31" s="11">
        <v>73</v>
      </c>
      <c r="C31" s="11">
        <v>27</v>
      </c>
      <c r="D31" s="12" t="s">
        <v>145</v>
      </c>
      <c r="E31" s="12" t="s">
        <v>104</v>
      </c>
      <c r="F31" s="12" t="s">
        <v>321</v>
      </c>
      <c r="G31" s="12" t="s">
        <v>105</v>
      </c>
      <c r="H31" s="16">
        <v>45505</v>
      </c>
      <c r="I31" s="16">
        <v>45506</v>
      </c>
      <c r="J31" s="14">
        <v>2</v>
      </c>
      <c r="K31" s="15">
        <v>11</v>
      </c>
    </row>
    <row r="32" spans="2:11" ht="30" x14ac:dyDescent="0.3">
      <c r="B32" s="11">
        <v>75</v>
      </c>
      <c r="C32" s="11">
        <v>28</v>
      </c>
      <c r="D32" s="12" t="s">
        <v>148</v>
      </c>
      <c r="E32" s="12" t="s">
        <v>149</v>
      </c>
      <c r="F32" s="12" t="s">
        <v>321</v>
      </c>
      <c r="G32" s="12" t="s">
        <v>23</v>
      </c>
      <c r="H32" s="16">
        <v>45506</v>
      </c>
      <c r="I32" s="16">
        <v>45506</v>
      </c>
      <c r="J32" s="14">
        <v>1</v>
      </c>
      <c r="K32" s="15">
        <v>1</v>
      </c>
    </row>
    <row r="33" spans="2:11" ht="45" x14ac:dyDescent="0.3">
      <c r="B33" s="11">
        <v>76</v>
      </c>
      <c r="C33" s="11">
        <v>29</v>
      </c>
      <c r="D33" s="12" t="s">
        <v>150</v>
      </c>
      <c r="E33" s="12" t="s">
        <v>63</v>
      </c>
      <c r="F33" s="12" t="s">
        <v>321</v>
      </c>
      <c r="G33" s="12" t="s">
        <v>64</v>
      </c>
      <c r="H33" s="16">
        <v>45510</v>
      </c>
      <c r="I33" s="16">
        <v>45513</v>
      </c>
      <c r="J33" s="14">
        <v>4</v>
      </c>
      <c r="K33" s="15">
        <v>3</v>
      </c>
    </row>
    <row r="34" spans="2:11" ht="45" x14ac:dyDescent="0.3">
      <c r="B34" s="11">
        <v>77</v>
      </c>
      <c r="C34" s="11">
        <v>30</v>
      </c>
      <c r="D34" s="12" t="s">
        <v>151</v>
      </c>
      <c r="E34" s="12" t="s">
        <v>63</v>
      </c>
      <c r="F34" s="12" t="s">
        <v>321</v>
      </c>
      <c r="G34" s="12" t="s">
        <v>64</v>
      </c>
      <c r="H34" s="16">
        <v>45510</v>
      </c>
      <c r="I34" s="16">
        <v>45513</v>
      </c>
      <c r="J34" s="14">
        <v>4</v>
      </c>
      <c r="K34" s="15">
        <v>4</v>
      </c>
    </row>
    <row r="35" spans="2:11" ht="60" x14ac:dyDescent="0.3">
      <c r="B35" s="11">
        <v>78</v>
      </c>
      <c r="C35" s="11">
        <v>31</v>
      </c>
      <c r="D35" s="12" t="s">
        <v>152</v>
      </c>
      <c r="E35" s="12" t="s">
        <v>85</v>
      </c>
      <c r="F35" s="12" t="s">
        <v>321</v>
      </c>
      <c r="G35" s="12" t="s">
        <v>64</v>
      </c>
      <c r="H35" s="16">
        <v>45516</v>
      </c>
      <c r="I35" s="16">
        <v>45518</v>
      </c>
      <c r="J35" s="14">
        <v>3</v>
      </c>
      <c r="K35" s="15">
        <v>5</v>
      </c>
    </row>
    <row r="36" spans="2:11" ht="30" x14ac:dyDescent="0.3">
      <c r="B36" s="11">
        <v>79</v>
      </c>
      <c r="C36" s="11">
        <v>32</v>
      </c>
      <c r="D36" s="12" t="s">
        <v>153</v>
      </c>
      <c r="E36" s="12" t="s">
        <v>85</v>
      </c>
      <c r="F36" s="12" t="s">
        <v>321</v>
      </c>
      <c r="G36" s="12" t="s">
        <v>64</v>
      </c>
      <c r="H36" s="16">
        <v>45516</v>
      </c>
      <c r="I36" s="16">
        <v>45518</v>
      </c>
      <c r="J36" s="14">
        <v>3</v>
      </c>
      <c r="K36" s="15">
        <v>5</v>
      </c>
    </row>
    <row r="37" spans="2:11" ht="30" x14ac:dyDescent="0.3">
      <c r="B37" s="11">
        <v>80</v>
      </c>
      <c r="C37" s="11">
        <v>33</v>
      </c>
      <c r="D37" s="12" t="s">
        <v>154</v>
      </c>
      <c r="E37" s="21" t="s">
        <v>155</v>
      </c>
      <c r="F37" s="12" t="s">
        <v>321</v>
      </c>
      <c r="G37" s="12" t="s">
        <v>79</v>
      </c>
      <c r="H37" s="16">
        <v>45510</v>
      </c>
      <c r="I37" s="16">
        <v>45511</v>
      </c>
      <c r="J37" s="14">
        <v>2</v>
      </c>
      <c r="K37" s="15">
        <v>9</v>
      </c>
    </row>
    <row r="38" spans="2:11" ht="30" x14ac:dyDescent="0.3">
      <c r="B38" s="11">
        <v>81</v>
      </c>
      <c r="C38" s="11">
        <v>34</v>
      </c>
      <c r="D38" s="12" t="s">
        <v>156</v>
      </c>
      <c r="E38" s="12" t="s">
        <v>63</v>
      </c>
      <c r="F38" s="12" t="s">
        <v>321</v>
      </c>
      <c r="G38" s="12" t="s">
        <v>64</v>
      </c>
      <c r="H38" s="16">
        <v>45525</v>
      </c>
      <c r="I38" s="16">
        <v>45528</v>
      </c>
      <c r="J38" s="14">
        <v>4</v>
      </c>
      <c r="K38" s="15">
        <v>5</v>
      </c>
    </row>
    <row r="39" spans="2:11" ht="30" x14ac:dyDescent="0.3">
      <c r="B39" s="11">
        <v>83</v>
      </c>
      <c r="C39" s="11">
        <v>35</v>
      </c>
      <c r="D39" s="12" t="s">
        <v>159</v>
      </c>
      <c r="E39" s="12" t="s">
        <v>85</v>
      </c>
      <c r="F39" s="12" t="s">
        <v>321</v>
      </c>
      <c r="G39" s="12" t="s">
        <v>64</v>
      </c>
      <c r="H39" s="16">
        <v>45524</v>
      </c>
      <c r="I39" s="16">
        <v>45527</v>
      </c>
      <c r="J39" s="14">
        <v>4</v>
      </c>
      <c r="K39" s="15">
        <v>4</v>
      </c>
    </row>
    <row r="40" spans="2:11" ht="45" x14ac:dyDescent="0.3">
      <c r="B40" s="11">
        <v>84</v>
      </c>
      <c r="C40" s="11">
        <v>36</v>
      </c>
      <c r="D40" s="12" t="s">
        <v>160</v>
      </c>
      <c r="E40" s="12" t="s">
        <v>85</v>
      </c>
      <c r="F40" s="12" t="s">
        <v>51</v>
      </c>
      <c r="G40" s="12" t="s">
        <v>51</v>
      </c>
      <c r="H40" s="16">
        <v>45525</v>
      </c>
      <c r="I40" s="16">
        <v>45527</v>
      </c>
      <c r="J40" s="14">
        <v>3</v>
      </c>
      <c r="K40" s="15">
        <v>5</v>
      </c>
    </row>
    <row r="41" spans="2:11" ht="60" x14ac:dyDescent="0.3">
      <c r="B41" s="11">
        <v>85</v>
      </c>
      <c r="C41" s="11">
        <v>37</v>
      </c>
      <c r="D41" s="12" t="s">
        <v>161</v>
      </c>
      <c r="E41" s="12" t="s">
        <v>85</v>
      </c>
      <c r="F41" s="12" t="s">
        <v>321</v>
      </c>
      <c r="G41" s="12" t="s">
        <v>64</v>
      </c>
      <c r="H41" s="16">
        <v>45531</v>
      </c>
      <c r="I41" s="16">
        <v>45534</v>
      </c>
      <c r="J41" s="14">
        <v>4</v>
      </c>
      <c r="K41" s="15">
        <v>4</v>
      </c>
    </row>
    <row r="42" spans="2:11" ht="45" x14ac:dyDescent="0.3">
      <c r="B42" s="11">
        <v>86</v>
      </c>
      <c r="C42" s="11">
        <v>38</v>
      </c>
      <c r="D42" s="12" t="s">
        <v>162</v>
      </c>
      <c r="E42" s="12" t="s">
        <v>163</v>
      </c>
      <c r="F42" s="12" t="s">
        <v>321</v>
      </c>
      <c r="G42" s="12" t="s">
        <v>64</v>
      </c>
      <c r="H42" s="16">
        <v>45526</v>
      </c>
      <c r="I42" s="16">
        <v>45527</v>
      </c>
      <c r="J42" s="14">
        <v>2</v>
      </c>
      <c r="K42" s="15">
        <v>9</v>
      </c>
    </row>
    <row r="43" spans="2:11" ht="30" x14ac:dyDescent="0.3">
      <c r="B43" s="11">
        <v>87</v>
      </c>
      <c r="C43" s="11">
        <v>39</v>
      </c>
      <c r="D43" s="12" t="s">
        <v>164</v>
      </c>
      <c r="E43" s="12" t="s">
        <v>165</v>
      </c>
      <c r="F43" s="12" t="s">
        <v>321</v>
      </c>
      <c r="G43" s="12" t="s">
        <v>24</v>
      </c>
      <c r="H43" s="16">
        <v>45526</v>
      </c>
      <c r="I43" s="16">
        <v>45526</v>
      </c>
      <c r="J43" s="14">
        <v>1</v>
      </c>
      <c r="K43" s="15">
        <v>3</v>
      </c>
    </row>
    <row r="44" spans="2:11" ht="45" x14ac:dyDescent="0.3">
      <c r="B44" s="11">
        <v>90</v>
      </c>
      <c r="C44" s="11">
        <v>40</v>
      </c>
      <c r="D44" s="12" t="s">
        <v>168</v>
      </c>
      <c r="E44" s="12" t="s">
        <v>169</v>
      </c>
      <c r="F44" s="12" t="s">
        <v>321</v>
      </c>
      <c r="G44" s="12" t="s">
        <v>64</v>
      </c>
      <c r="H44" s="16">
        <v>45532</v>
      </c>
      <c r="I44" s="16">
        <v>45533</v>
      </c>
      <c r="J44" s="14">
        <v>2</v>
      </c>
      <c r="K44" s="15">
        <v>2</v>
      </c>
    </row>
    <row r="45" spans="2:11" ht="30" x14ac:dyDescent="0.3">
      <c r="B45" s="11">
        <v>94</v>
      </c>
      <c r="C45" s="11">
        <v>41</v>
      </c>
      <c r="D45" s="12" t="s">
        <v>173</v>
      </c>
      <c r="E45" s="12" t="s">
        <v>38</v>
      </c>
      <c r="F45" s="12" t="s">
        <v>321</v>
      </c>
      <c r="G45" s="12" t="s">
        <v>107</v>
      </c>
      <c r="H45" s="16">
        <v>45545</v>
      </c>
      <c r="I45" s="16">
        <v>45546</v>
      </c>
      <c r="J45" s="14">
        <v>2</v>
      </c>
      <c r="K45" s="15">
        <v>5</v>
      </c>
    </row>
    <row r="46" spans="2:11" ht="30" x14ac:dyDescent="0.3">
      <c r="B46" s="11">
        <v>95</v>
      </c>
      <c r="C46" s="11">
        <v>42</v>
      </c>
      <c r="D46" s="12" t="s">
        <v>174</v>
      </c>
      <c r="E46" s="12" t="s">
        <v>85</v>
      </c>
      <c r="F46" s="12" t="s">
        <v>321</v>
      </c>
      <c r="G46" s="12" t="s">
        <v>64</v>
      </c>
      <c r="H46" s="16">
        <v>45552</v>
      </c>
      <c r="I46" s="16">
        <v>45555</v>
      </c>
      <c r="J46" s="14">
        <v>4</v>
      </c>
      <c r="K46" s="15">
        <v>3</v>
      </c>
    </row>
    <row r="47" spans="2:11" ht="45" x14ac:dyDescent="0.3">
      <c r="B47" s="11">
        <v>97</v>
      </c>
      <c r="C47" s="11">
        <v>43</v>
      </c>
      <c r="D47" s="12" t="s">
        <v>176</v>
      </c>
      <c r="E47" s="12" t="s">
        <v>85</v>
      </c>
      <c r="F47" s="12" t="s">
        <v>321</v>
      </c>
      <c r="G47" s="12" t="s">
        <v>64</v>
      </c>
      <c r="H47" s="16">
        <v>45544</v>
      </c>
      <c r="I47" s="16">
        <v>45548</v>
      </c>
      <c r="J47" s="14">
        <v>5</v>
      </c>
      <c r="K47" s="15">
        <v>4</v>
      </c>
    </row>
    <row r="48" spans="2:11" ht="45" x14ac:dyDescent="0.3">
      <c r="B48" s="11">
        <v>98</v>
      </c>
      <c r="C48" s="11">
        <v>44</v>
      </c>
      <c r="D48" s="12" t="s">
        <v>177</v>
      </c>
      <c r="E48" s="12" t="s">
        <v>85</v>
      </c>
      <c r="F48" s="12" t="s">
        <v>321</v>
      </c>
      <c r="G48" s="12" t="s">
        <v>64</v>
      </c>
      <c r="H48" s="16">
        <v>45643</v>
      </c>
      <c r="I48" s="16">
        <v>45646</v>
      </c>
      <c r="J48" s="14">
        <v>4</v>
      </c>
      <c r="K48" s="15">
        <v>4</v>
      </c>
    </row>
    <row r="49" spans="2:11" ht="15.6" x14ac:dyDescent="0.3">
      <c r="B49" s="11">
        <v>107</v>
      </c>
      <c r="C49" s="11">
        <v>45</v>
      </c>
      <c r="D49" s="22" t="s">
        <v>137</v>
      </c>
      <c r="E49" s="14" t="s">
        <v>138</v>
      </c>
      <c r="F49" s="14" t="s">
        <v>321</v>
      </c>
      <c r="G49" s="12" t="s">
        <v>139</v>
      </c>
      <c r="H49" s="16">
        <v>45558</v>
      </c>
      <c r="I49" s="16">
        <v>45562</v>
      </c>
      <c r="J49" s="14">
        <v>5</v>
      </c>
      <c r="K49" s="15">
        <v>4</v>
      </c>
    </row>
    <row r="50" spans="2:11" ht="30" x14ac:dyDescent="0.3">
      <c r="B50" s="11">
        <v>108</v>
      </c>
      <c r="C50" s="11">
        <v>46</v>
      </c>
      <c r="D50" s="12" t="s">
        <v>191</v>
      </c>
      <c r="E50" s="17" t="s">
        <v>53</v>
      </c>
      <c r="F50" s="12" t="s">
        <v>321</v>
      </c>
      <c r="G50" s="12" t="s">
        <v>54</v>
      </c>
      <c r="H50" s="16">
        <v>45586</v>
      </c>
      <c r="I50" s="16">
        <v>45591</v>
      </c>
      <c r="J50" s="14">
        <v>6</v>
      </c>
      <c r="K50" s="15">
        <v>4</v>
      </c>
    </row>
    <row r="51" spans="2:11" ht="30" x14ac:dyDescent="0.3">
      <c r="B51" s="11">
        <v>112</v>
      </c>
      <c r="C51" s="11">
        <v>47</v>
      </c>
      <c r="D51" s="12" t="s">
        <v>195</v>
      </c>
      <c r="E51" s="12" t="s">
        <v>59</v>
      </c>
      <c r="F51" s="12" t="s">
        <v>321</v>
      </c>
      <c r="G51" s="12" t="s">
        <v>24</v>
      </c>
      <c r="H51" s="16">
        <v>45580</v>
      </c>
      <c r="I51" s="16">
        <v>45581</v>
      </c>
      <c r="J51" s="14">
        <v>2</v>
      </c>
      <c r="K51" s="15">
        <v>27</v>
      </c>
    </row>
    <row r="52" spans="2:11" ht="45" x14ac:dyDescent="0.3">
      <c r="B52" s="11">
        <v>129</v>
      </c>
      <c r="C52" s="11">
        <v>48</v>
      </c>
      <c r="D52" s="17" t="s">
        <v>204</v>
      </c>
      <c r="E52" s="17" t="s">
        <v>38</v>
      </c>
      <c r="F52" s="14" t="s">
        <v>321</v>
      </c>
      <c r="G52" s="14" t="s">
        <v>23</v>
      </c>
      <c r="H52" s="13">
        <v>45588</v>
      </c>
      <c r="I52" s="13">
        <v>45588</v>
      </c>
      <c r="J52" s="14">
        <v>1</v>
      </c>
      <c r="K52" s="15">
        <v>3</v>
      </c>
    </row>
    <row r="53" spans="2:11" ht="15" x14ac:dyDescent="0.3">
      <c r="B53" s="11">
        <v>130</v>
      </c>
      <c r="C53" s="11">
        <v>49</v>
      </c>
      <c r="D53" s="17" t="s">
        <v>205</v>
      </c>
      <c r="E53" s="17" t="s">
        <v>147</v>
      </c>
      <c r="F53" s="14" t="s">
        <v>321</v>
      </c>
      <c r="G53" s="14" t="s">
        <v>118</v>
      </c>
      <c r="H53" s="13">
        <v>45589</v>
      </c>
      <c r="I53" s="13">
        <v>45590</v>
      </c>
      <c r="J53" s="14">
        <v>2</v>
      </c>
      <c r="K53" s="15">
        <v>3</v>
      </c>
    </row>
    <row r="54" spans="2:11" ht="45" x14ac:dyDescent="0.3">
      <c r="B54" s="11">
        <v>147</v>
      </c>
      <c r="C54" s="11">
        <v>50</v>
      </c>
      <c r="D54" s="12" t="s">
        <v>226</v>
      </c>
      <c r="E54" s="12" t="s">
        <v>104</v>
      </c>
      <c r="F54" s="12" t="s">
        <v>321</v>
      </c>
      <c r="G54" s="12" t="s">
        <v>79</v>
      </c>
      <c r="H54" s="16">
        <v>45621</v>
      </c>
      <c r="I54" s="16">
        <v>45622</v>
      </c>
      <c r="J54" s="14">
        <v>2</v>
      </c>
      <c r="K54" s="15">
        <v>1</v>
      </c>
    </row>
    <row r="55" spans="2:11" ht="45" x14ac:dyDescent="0.3">
      <c r="B55" s="11">
        <v>148</v>
      </c>
      <c r="C55" s="11">
        <v>51</v>
      </c>
      <c r="D55" s="12" t="s">
        <v>168</v>
      </c>
      <c r="E55" s="12" t="s">
        <v>169</v>
      </c>
      <c r="F55" s="12" t="s">
        <v>321</v>
      </c>
      <c r="G55" s="12" t="s">
        <v>64</v>
      </c>
      <c r="H55" s="16">
        <v>45532</v>
      </c>
      <c r="I55" s="16">
        <v>45533</v>
      </c>
      <c r="J55" s="14">
        <v>2</v>
      </c>
      <c r="K55" s="15">
        <v>3</v>
      </c>
    </row>
    <row r="56" spans="2:11" ht="30" x14ac:dyDescent="0.3">
      <c r="B56" s="11">
        <v>149</v>
      </c>
      <c r="C56" s="11">
        <v>52</v>
      </c>
      <c r="D56" s="12" t="s">
        <v>174</v>
      </c>
      <c r="E56" s="12" t="s">
        <v>85</v>
      </c>
      <c r="F56" s="12" t="s">
        <v>321</v>
      </c>
      <c r="G56" s="12" t="s">
        <v>64</v>
      </c>
      <c r="H56" s="16">
        <v>45552</v>
      </c>
      <c r="I56" s="16">
        <v>45555</v>
      </c>
      <c r="J56" s="14">
        <v>4</v>
      </c>
      <c r="K56" s="15">
        <v>2</v>
      </c>
    </row>
    <row r="57" spans="2:11" ht="30" x14ac:dyDescent="0.3">
      <c r="B57" s="11">
        <v>153</v>
      </c>
      <c r="C57" s="11">
        <v>53</v>
      </c>
      <c r="D57" s="12" t="s">
        <v>230</v>
      </c>
      <c r="E57" s="12" t="s">
        <v>231</v>
      </c>
      <c r="F57" s="12" t="s">
        <v>321</v>
      </c>
      <c r="G57" s="12" t="s">
        <v>23</v>
      </c>
      <c r="H57" s="16">
        <v>45638</v>
      </c>
      <c r="I57" s="16">
        <v>45639</v>
      </c>
      <c r="J57" s="14">
        <v>2</v>
      </c>
      <c r="K57" s="15">
        <v>6</v>
      </c>
    </row>
    <row r="58" spans="2:11" ht="30" x14ac:dyDescent="0.3">
      <c r="B58" s="11">
        <v>161</v>
      </c>
      <c r="C58" s="11">
        <v>54</v>
      </c>
      <c r="D58" s="12" t="s">
        <v>240</v>
      </c>
      <c r="E58" s="12" t="s">
        <v>241</v>
      </c>
      <c r="F58" s="12" t="s">
        <v>321</v>
      </c>
      <c r="G58" s="12" t="s">
        <v>79</v>
      </c>
      <c r="H58" s="16">
        <v>45664</v>
      </c>
      <c r="I58" s="16">
        <v>45665</v>
      </c>
      <c r="J58" s="14">
        <v>2</v>
      </c>
      <c r="K58" s="15">
        <v>1</v>
      </c>
    </row>
    <row r="59" spans="2:11" ht="60" x14ac:dyDescent="0.3">
      <c r="B59" s="11">
        <v>163</v>
      </c>
      <c r="C59" s="11">
        <v>55</v>
      </c>
      <c r="D59" s="12" t="s">
        <v>243</v>
      </c>
      <c r="E59" s="14" t="s">
        <v>22</v>
      </c>
      <c r="F59" s="12" t="s">
        <v>321</v>
      </c>
      <c r="G59" s="12" t="s">
        <v>23</v>
      </c>
      <c r="H59" s="16">
        <v>45677</v>
      </c>
      <c r="I59" s="16">
        <v>45677</v>
      </c>
      <c r="J59" s="14">
        <v>1</v>
      </c>
      <c r="K59" s="15">
        <v>3</v>
      </c>
    </row>
    <row r="60" spans="2:11" ht="30" x14ac:dyDescent="0.3">
      <c r="B60" s="11">
        <v>164</v>
      </c>
      <c r="C60" s="11">
        <v>56</v>
      </c>
      <c r="D60" s="12" t="s">
        <v>244</v>
      </c>
      <c r="E60" s="12" t="s">
        <v>38</v>
      </c>
      <c r="F60" s="12" t="s">
        <v>321</v>
      </c>
      <c r="G60" s="12" t="s">
        <v>23</v>
      </c>
      <c r="H60" s="16">
        <v>45678</v>
      </c>
      <c r="I60" s="16">
        <v>45679</v>
      </c>
      <c r="J60" s="14">
        <v>2</v>
      </c>
      <c r="K60" s="15">
        <v>5</v>
      </c>
    </row>
    <row r="61" spans="2:11" ht="30" x14ac:dyDescent="0.3">
      <c r="B61" s="11">
        <v>165</v>
      </c>
      <c r="C61" s="11">
        <v>57</v>
      </c>
      <c r="D61" s="12" t="s">
        <v>245</v>
      </c>
      <c r="E61" s="12" t="s">
        <v>38</v>
      </c>
      <c r="F61" s="12" t="s">
        <v>321</v>
      </c>
      <c r="G61" s="12" t="s">
        <v>23</v>
      </c>
      <c r="H61" s="16">
        <v>45685</v>
      </c>
      <c r="I61" s="16">
        <v>45686</v>
      </c>
      <c r="J61" s="14">
        <v>2</v>
      </c>
      <c r="K61" s="15">
        <v>4</v>
      </c>
    </row>
    <row r="62" spans="2:11" ht="45" x14ac:dyDescent="0.3">
      <c r="B62" s="11">
        <v>166</v>
      </c>
      <c r="C62" s="11">
        <v>58</v>
      </c>
      <c r="D62" s="12" t="s">
        <v>246</v>
      </c>
      <c r="E62" s="14" t="s">
        <v>22</v>
      </c>
      <c r="F62" s="12" t="s">
        <v>321</v>
      </c>
      <c r="G62" s="12" t="s">
        <v>23</v>
      </c>
      <c r="H62" s="16">
        <v>45687</v>
      </c>
      <c r="I62" s="16">
        <v>45688</v>
      </c>
      <c r="J62" s="14">
        <v>2</v>
      </c>
      <c r="K62" s="15">
        <v>6</v>
      </c>
    </row>
    <row r="63" spans="2:11" ht="30" x14ac:dyDescent="0.3">
      <c r="B63" s="11">
        <v>168</v>
      </c>
      <c r="C63" s="11">
        <v>59</v>
      </c>
      <c r="D63" s="12" t="s">
        <v>248</v>
      </c>
      <c r="E63" s="12" t="s">
        <v>249</v>
      </c>
      <c r="F63" s="12" t="s">
        <v>321</v>
      </c>
      <c r="G63" s="12" t="s">
        <v>24</v>
      </c>
      <c r="H63" s="16">
        <v>45665</v>
      </c>
      <c r="I63" s="16">
        <v>45665</v>
      </c>
      <c r="J63" s="14">
        <v>1</v>
      </c>
      <c r="K63" s="15">
        <v>2</v>
      </c>
    </row>
    <row r="64" spans="2:11" ht="60" x14ac:dyDescent="0.3">
      <c r="B64" s="11">
        <v>173</v>
      </c>
      <c r="C64" s="11">
        <v>60</v>
      </c>
      <c r="D64" s="12" t="s">
        <v>255</v>
      </c>
      <c r="E64" s="12" t="s">
        <v>256</v>
      </c>
      <c r="F64" s="12" t="s">
        <v>321</v>
      </c>
      <c r="G64" s="12" t="s">
        <v>79</v>
      </c>
      <c r="H64" s="16">
        <v>45666</v>
      </c>
      <c r="I64" s="16">
        <v>45667</v>
      </c>
      <c r="J64" s="14">
        <v>2</v>
      </c>
      <c r="K64" s="15">
        <v>8</v>
      </c>
    </row>
    <row r="65" spans="2:11" ht="30" x14ac:dyDescent="0.3">
      <c r="B65" s="11">
        <v>174</v>
      </c>
      <c r="C65" s="11">
        <v>61</v>
      </c>
      <c r="D65" s="21" t="s">
        <v>257</v>
      </c>
      <c r="E65" s="21" t="s">
        <v>165</v>
      </c>
      <c r="F65" s="21" t="s">
        <v>321</v>
      </c>
      <c r="G65" s="21" t="s">
        <v>24</v>
      </c>
      <c r="H65" s="20">
        <v>45652</v>
      </c>
      <c r="I65" s="20">
        <v>45652</v>
      </c>
      <c r="J65" s="14">
        <v>1</v>
      </c>
      <c r="K65" s="15">
        <v>7</v>
      </c>
    </row>
    <row r="66" spans="2:11" ht="30" x14ac:dyDescent="0.3">
      <c r="B66" s="11">
        <v>178</v>
      </c>
      <c r="C66" s="11">
        <v>62</v>
      </c>
      <c r="D66" s="21" t="s">
        <v>262</v>
      </c>
      <c r="E66" s="21" t="s">
        <v>117</v>
      </c>
      <c r="F66" s="21" t="s">
        <v>321</v>
      </c>
      <c r="G66" s="21" t="s">
        <v>118</v>
      </c>
      <c r="H66" s="20">
        <v>45684</v>
      </c>
      <c r="I66" s="20">
        <v>45686</v>
      </c>
      <c r="J66" s="14">
        <v>3</v>
      </c>
      <c r="K66" s="15">
        <v>6</v>
      </c>
    </row>
    <row r="67" spans="2:11" ht="30" x14ac:dyDescent="0.3">
      <c r="B67" s="11">
        <v>179</v>
      </c>
      <c r="C67" s="11">
        <v>63</v>
      </c>
      <c r="D67" s="21" t="s">
        <v>263</v>
      </c>
      <c r="E67" s="21" t="s">
        <v>264</v>
      </c>
      <c r="F67" s="21" t="s">
        <v>321</v>
      </c>
      <c r="G67" s="21" t="s">
        <v>64</v>
      </c>
      <c r="H67" s="20">
        <v>45677</v>
      </c>
      <c r="I67" s="20">
        <v>45680</v>
      </c>
      <c r="J67" s="14">
        <v>4</v>
      </c>
      <c r="K67" s="15">
        <v>1</v>
      </c>
    </row>
    <row r="68" spans="2:11" ht="30" x14ac:dyDescent="0.3">
      <c r="B68" s="11">
        <v>184</v>
      </c>
      <c r="C68" s="11">
        <v>64</v>
      </c>
      <c r="D68" s="14" t="s">
        <v>271</v>
      </c>
      <c r="E68" s="14" t="s">
        <v>272</v>
      </c>
      <c r="F68" s="14" t="s">
        <v>321</v>
      </c>
      <c r="G68" s="14" t="s">
        <v>24</v>
      </c>
      <c r="H68" s="13">
        <v>45680</v>
      </c>
      <c r="I68" s="13">
        <v>45680</v>
      </c>
      <c r="J68" s="14">
        <v>1</v>
      </c>
      <c r="K68" s="15">
        <v>5</v>
      </c>
    </row>
    <row r="69" spans="2:11" ht="30" x14ac:dyDescent="0.3">
      <c r="B69" s="11">
        <v>185</v>
      </c>
      <c r="C69" s="11">
        <v>65</v>
      </c>
      <c r="D69" s="14" t="s">
        <v>273</v>
      </c>
      <c r="E69" s="14" t="s">
        <v>272</v>
      </c>
      <c r="F69" s="14" t="s">
        <v>321</v>
      </c>
      <c r="G69" s="14" t="s">
        <v>24</v>
      </c>
      <c r="H69" s="13">
        <v>45680</v>
      </c>
      <c r="I69" s="13">
        <v>45680</v>
      </c>
      <c r="J69" s="14">
        <v>1</v>
      </c>
      <c r="K69" s="15">
        <v>11</v>
      </c>
    </row>
    <row r="70" spans="2:11" ht="45" x14ac:dyDescent="0.3">
      <c r="B70" s="11">
        <v>192</v>
      </c>
      <c r="C70" s="11">
        <v>66</v>
      </c>
      <c r="D70" s="14" t="s">
        <v>137</v>
      </c>
      <c r="E70" s="14" t="s">
        <v>138</v>
      </c>
      <c r="F70" s="14" t="s">
        <v>321</v>
      </c>
      <c r="G70" s="14" t="s">
        <v>139</v>
      </c>
      <c r="H70" s="13">
        <v>45717</v>
      </c>
      <c r="I70" s="13">
        <v>45721</v>
      </c>
      <c r="J70" s="14">
        <v>5</v>
      </c>
      <c r="K70" s="15">
        <v>5</v>
      </c>
    </row>
    <row r="71" spans="2:11" ht="45" x14ac:dyDescent="0.3">
      <c r="B71" s="11">
        <v>194</v>
      </c>
      <c r="C71" s="11">
        <v>67</v>
      </c>
      <c r="D71" s="21" t="s">
        <v>280</v>
      </c>
      <c r="E71" s="21" t="s">
        <v>19</v>
      </c>
      <c r="F71" s="21" t="s">
        <v>321</v>
      </c>
      <c r="G71" s="21" t="s">
        <v>23</v>
      </c>
      <c r="H71" s="20">
        <v>45712</v>
      </c>
      <c r="I71" s="20">
        <v>45713</v>
      </c>
      <c r="J71" s="14">
        <v>2</v>
      </c>
      <c r="K71" s="15">
        <v>6</v>
      </c>
    </row>
    <row r="72" spans="2:11" ht="30" x14ac:dyDescent="0.3">
      <c r="B72" s="11">
        <v>205</v>
      </c>
      <c r="C72" s="11">
        <v>68</v>
      </c>
      <c r="D72" s="21" t="s">
        <v>297</v>
      </c>
      <c r="E72" s="21" t="s">
        <v>298</v>
      </c>
      <c r="F72" s="21" t="s">
        <v>321</v>
      </c>
      <c r="G72" s="21" t="s">
        <v>24</v>
      </c>
      <c r="H72" s="20">
        <v>45713</v>
      </c>
      <c r="I72" s="20">
        <v>45713</v>
      </c>
      <c r="J72" s="14">
        <v>1</v>
      </c>
      <c r="K72" s="15">
        <v>23</v>
      </c>
    </row>
    <row r="73" spans="2:11" ht="30" x14ac:dyDescent="0.3">
      <c r="B73" s="11">
        <v>208</v>
      </c>
      <c r="C73" s="11">
        <v>69</v>
      </c>
      <c r="D73" s="21" t="s">
        <v>301</v>
      </c>
      <c r="E73" s="21" t="s">
        <v>165</v>
      </c>
      <c r="F73" s="21" t="s">
        <v>321</v>
      </c>
      <c r="G73" s="21" t="s">
        <v>24</v>
      </c>
      <c r="H73" s="20">
        <v>45703</v>
      </c>
      <c r="I73" s="20">
        <v>45703</v>
      </c>
      <c r="J73" s="14">
        <v>1</v>
      </c>
      <c r="K73" s="15">
        <v>5</v>
      </c>
    </row>
    <row r="74" spans="2:11" ht="75" x14ac:dyDescent="0.3">
      <c r="B74" s="11">
        <v>210</v>
      </c>
      <c r="C74" s="11">
        <v>70</v>
      </c>
      <c r="D74" s="21" t="s">
        <v>252</v>
      </c>
      <c r="E74" s="21" t="s">
        <v>85</v>
      </c>
      <c r="F74" s="21" t="s">
        <v>321</v>
      </c>
      <c r="G74" s="21" t="s">
        <v>64</v>
      </c>
      <c r="H74" s="20">
        <v>45735</v>
      </c>
      <c r="I74" s="20">
        <v>45737</v>
      </c>
      <c r="J74" s="14">
        <v>3</v>
      </c>
      <c r="K74" s="15">
        <v>5</v>
      </c>
    </row>
    <row r="75" spans="2:11" ht="30.6" x14ac:dyDescent="0.3">
      <c r="B75" s="11">
        <v>215</v>
      </c>
      <c r="C75" s="11">
        <v>71</v>
      </c>
      <c r="D75" s="25" t="s">
        <v>307</v>
      </c>
      <c r="E75" s="25" t="s">
        <v>117</v>
      </c>
      <c r="F75" s="25" t="s">
        <v>321</v>
      </c>
      <c r="G75" s="25" t="s">
        <v>118</v>
      </c>
      <c r="H75" s="20">
        <v>45726</v>
      </c>
      <c r="I75" s="20">
        <v>45728</v>
      </c>
      <c r="J75" s="14">
        <v>3</v>
      </c>
      <c r="K75" s="15">
        <v>4</v>
      </c>
    </row>
    <row r="76" spans="2:11" ht="15.6" x14ac:dyDescent="0.3">
      <c r="B76" s="11">
        <v>216</v>
      </c>
      <c r="C76" s="11">
        <v>72</v>
      </c>
      <c r="D76" s="25" t="s">
        <v>308</v>
      </c>
      <c r="E76" s="25" t="s">
        <v>117</v>
      </c>
      <c r="F76" s="25" t="s">
        <v>321</v>
      </c>
      <c r="G76" s="25" t="s">
        <v>118</v>
      </c>
      <c r="H76" s="20">
        <v>45740</v>
      </c>
      <c r="I76" s="20">
        <v>45742</v>
      </c>
      <c r="J76" s="14">
        <v>3</v>
      </c>
      <c r="K76" s="15">
        <v>4</v>
      </c>
    </row>
    <row r="77" spans="2:11" ht="30" x14ac:dyDescent="0.3">
      <c r="B77" s="11">
        <v>218</v>
      </c>
      <c r="C77" s="11">
        <v>73</v>
      </c>
      <c r="D77" s="21" t="s">
        <v>310</v>
      </c>
      <c r="E77" s="21" t="s">
        <v>311</v>
      </c>
      <c r="F77" s="21" t="s">
        <v>321</v>
      </c>
      <c r="G77" s="21" t="s">
        <v>312</v>
      </c>
      <c r="H77" s="20">
        <v>45740</v>
      </c>
      <c r="I77" s="20">
        <v>45742</v>
      </c>
      <c r="J77" s="14">
        <v>3</v>
      </c>
      <c r="K77" s="15">
        <v>7</v>
      </c>
    </row>
    <row r="78" spans="2:11" ht="15.6" x14ac:dyDescent="0.3">
      <c r="B78" s="11">
        <v>221</v>
      </c>
      <c r="C78" s="11">
        <v>74</v>
      </c>
      <c r="D78" s="25" t="s">
        <v>315</v>
      </c>
      <c r="E78" s="25" t="s">
        <v>81</v>
      </c>
      <c r="F78" s="25" t="s">
        <v>321</v>
      </c>
      <c r="G78" s="25" t="s">
        <v>24</v>
      </c>
      <c r="H78" s="20">
        <v>45736</v>
      </c>
      <c r="I78" s="20">
        <v>45737</v>
      </c>
      <c r="J78" s="14">
        <v>2</v>
      </c>
      <c r="K78" s="15">
        <v>14</v>
      </c>
    </row>
    <row r="79" spans="2:11" ht="30" x14ac:dyDescent="0.3">
      <c r="B79" s="11">
        <v>223</v>
      </c>
      <c r="C79" s="11">
        <v>75</v>
      </c>
      <c r="D79" s="14" t="s">
        <v>318</v>
      </c>
      <c r="E79" s="14" t="s">
        <v>319</v>
      </c>
      <c r="F79" s="14" t="s">
        <v>321</v>
      </c>
      <c r="G79" s="14" t="s">
        <v>320</v>
      </c>
      <c r="H79" s="13">
        <v>45734</v>
      </c>
      <c r="I79" s="13">
        <v>45738</v>
      </c>
      <c r="J79" s="14">
        <v>5</v>
      </c>
      <c r="K79" s="15">
        <v>5</v>
      </c>
    </row>
    <row r="80" spans="2:11" ht="30" x14ac:dyDescent="0.3">
      <c r="B80" s="11">
        <v>224</v>
      </c>
      <c r="C80" s="11">
        <v>76</v>
      </c>
      <c r="D80" s="14" t="s">
        <v>318</v>
      </c>
      <c r="E80" s="14" t="s">
        <v>319</v>
      </c>
      <c r="F80" s="14" t="s">
        <v>321</v>
      </c>
      <c r="G80" s="14" t="s">
        <v>320</v>
      </c>
      <c r="H80" s="13">
        <v>45741</v>
      </c>
      <c r="I80" s="13">
        <v>45745</v>
      </c>
      <c r="J80" s="14">
        <v>5</v>
      </c>
      <c r="K80" s="15">
        <v>6</v>
      </c>
    </row>
    <row r="81" spans="2:11" ht="30" x14ac:dyDescent="0.3">
      <c r="B81" s="11">
        <v>225</v>
      </c>
      <c r="C81" s="11">
        <v>77</v>
      </c>
      <c r="D81" s="14" t="s">
        <v>318</v>
      </c>
      <c r="E81" s="14" t="s">
        <v>319</v>
      </c>
      <c r="F81" s="14" t="s">
        <v>321</v>
      </c>
      <c r="G81" s="14" t="s">
        <v>320</v>
      </c>
      <c r="H81" s="13">
        <v>45741</v>
      </c>
      <c r="I81" s="13">
        <v>45745</v>
      </c>
      <c r="J81" s="14">
        <v>5</v>
      </c>
      <c r="K81" s="15">
        <v>6</v>
      </c>
    </row>
  </sheetData>
  <mergeCells count="1">
    <mergeCell ref="C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6"/>
  <sheetViews>
    <sheetView workbookViewId="0">
      <selection activeCell="K4" sqref="K4:K76"/>
    </sheetView>
  </sheetViews>
  <sheetFormatPr defaultRowHeight="14.4" x14ac:dyDescent="0.3"/>
  <cols>
    <col min="2" max="2" width="0" hidden="1" customWidth="1"/>
    <col min="4" max="4" width="56.6640625" customWidth="1"/>
    <col min="5" max="5" width="24.88671875" customWidth="1"/>
    <col min="6" max="6" width="14" customWidth="1"/>
    <col min="7" max="7" width="14.33203125" customWidth="1"/>
    <col min="8" max="8" width="14.88671875" customWidth="1"/>
    <col min="9" max="9" width="16.5546875" customWidth="1"/>
  </cols>
  <sheetData>
    <row r="2" spans="2:11" ht="33.75" customHeight="1" x14ac:dyDescent="0.3">
      <c r="C2" s="30" t="str">
        <f>"External Training Detail For Year 2024-25 ("&amp;K4&amp;")"</f>
        <v>External Training Detail For Year 2024-25 (PGVCL)</v>
      </c>
      <c r="D2" s="30"/>
      <c r="E2" s="30"/>
      <c r="F2" s="30"/>
      <c r="G2" s="30"/>
      <c r="H2" s="30"/>
      <c r="I2" s="30"/>
      <c r="J2" s="30"/>
      <c r="K2" s="30"/>
    </row>
    <row r="4" spans="2:11" ht="31.2" x14ac:dyDescent="0.3">
      <c r="B4" s="9" t="s">
        <v>2</v>
      </c>
      <c r="C4" s="9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0" t="s">
        <v>13</v>
      </c>
    </row>
    <row r="5" spans="2:11" ht="15" x14ac:dyDescent="0.3">
      <c r="B5" s="11">
        <v>21</v>
      </c>
      <c r="C5" s="11">
        <v>1</v>
      </c>
      <c r="D5" s="14" t="s">
        <v>52</v>
      </c>
      <c r="E5" s="17" t="s">
        <v>53</v>
      </c>
      <c r="F5" s="14" t="s">
        <v>321</v>
      </c>
      <c r="G5" s="17" t="s">
        <v>54</v>
      </c>
      <c r="H5" s="2">
        <v>45439</v>
      </c>
      <c r="I5" s="2">
        <v>45444</v>
      </c>
      <c r="J5" s="14">
        <v>6</v>
      </c>
      <c r="K5" s="15">
        <v>4</v>
      </c>
    </row>
    <row r="6" spans="2:11" ht="15" x14ac:dyDescent="0.3">
      <c r="B6" s="11">
        <v>22</v>
      </c>
      <c r="C6" s="11">
        <v>2</v>
      </c>
      <c r="D6" s="14" t="s">
        <v>55</v>
      </c>
      <c r="E6" s="14" t="s">
        <v>56</v>
      </c>
      <c r="F6" s="14" t="s">
        <v>321</v>
      </c>
      <c r="G6" s="14" t="s">
        <v>57</v>
      </c>
      <c r="H6" s="13">
        <v>45451</v>
      </c>
      <c r="I6" s="13">
        <v>45455</v>
      </c>
      <c r="J6" s="14">
        <v>5</v>
      </c>
      <c r="K6" s="15">
        <v>4</v>
      </c>
    </row>
    <row r="7" spans="2:11" ht="30" x14ac:dyDescent="0.3">
      <c r="B7" s="11">
        <v>25</v>
      </c>
      <c r="C7" s="11">
        <v>3</v>
      </c>
      <c r="D7" s="12" t="s">
        <v>62</v>
      </c>
      <c r="E7" s="12" t="s">
        <v>63</v>
      </c>
      <c r="F7" s="12" t="s">
        <v>321</v>
      </c>
      <c r="G7" s="12" t="s">
        <v>64</v>
      </c>
      <c r="H7" s="16">
        <v>45455</v>
      </c>
      <c r="I7" s="16">
        <v>45457</v>
      </c>
      <c r="J7" s="14">
        <v>3</v>
      </c>
      <c r="K7" s="15">
        <v>2</v>
      </c>
    </row>
    <row r="8" spans="2:11" ht="30" x14ac:dyDescent="0.3">
      <c r="B8" s="11">
        <v>26</v>
      </c>
      <c r="C8" s="11">
        <v>4</v>
      </c>
      <c r="D8" s="12" t="s">
        <v>65</v>
      </c>
      <c r="E8" s="12" t="s">
        <v>63</v>
      </c>
      <c r="F8" s="12" t="s">
        <v>321</v>
      </c>
      <c r="G8" s="12" t="s">
        <v>64</v>
      </c>
      <c r="H8" s="16">
        <v>45468</v>
      </c>
      <c r="I8" s="16">
        <v>45471</v>
      </c>
      <c r="J8" s="14">
        <v>4</v>
      </c>
      <c r="K8" s="15">
        <v>1</v>
      </c>
    </row>
    <row r="9" spans="2:11" ht="30" x14ac:dyDescent="0.3">
      <c r="B9" s="11">
        <v>42</v>
      </c>
      <c r="C9" s="11">
        <v>5</v>
      </c>
      <c r="D9" s="12" t="s">
        <v>95</v>
      </c>
      <c r="E9" s="12" t="s">
        <v>96</v>
      </c>
      <c r="F9" s="12" t="s">
        <v>321</v>
      </c>
      <c r="G9" s="12" t="s">
        <v>23</v>
      </c>
      <c r="H9" s="16">
        <v>45498</v>
      </c>
      <c r="I9" s="16">
        <v>45499</v>
      </c>
      <c r="J9" s="14">
        <v>2</v>
      </c>
      <c r="K9" s="15">
        <v>1</v>
      </c>
    </row>
    <row r="10" spans="2:11" ht="30" x14ac:dyDescent="0.3">
      <c r="B10" s="11">
        <v>44</v>
      </c>
      <c r="C10" s="11">
        <v>6</v>
      </c>
      <c r="D10" s="12" t="s">
        <v>91</v>
      </c>
      <c r="E10" s="12" t="s">
        <v>19</v>
      </c>
      <c r="F10" s="12" t="s">
        <v>321</v>
      </c>
      <c r="G10" s="12" t="s">
        <v>29</v>
      </c>
      <c r="H10" s="16">
        <v>45509</v>
      </c>
      <c r="I10" s="16">
        <v>45513</v>
      </c>
      <c r="J10" s="14">
        <v>5</v>
      </c>
      <c r="K10" s="15">
        <v>1</v>
      </c>
    </row>
    <row r="11" spans="2:11" ht="45" x14ac:dyDescent="0.3">
      <c r="B11" s="11">
        <v>52</v>
      </c>
      <c r="C11" s="11">
        <v>7</v>
      </c>
      <c r="D11" s="12" t="s">
        <v>111</v>
      </c>
      <c r="E11" s="12" t="s">
        <v>112</v>
      </c>
      <c r="F11" s="12" t="s">
        <v>321</v>
      </c>
      <c r="G11" s="12" t="s">
        <v>113</v>
      </c>
      <c r="H11" s="16">
        <v>45526</v>
      </c>
      <c r="I11" s="16">
        <v>45528</v>
      </c>
      <c r="J11" s="14">
        <v>3</v>
      </c>
      <c r="K11" s="15">
        <v>1</v>
      </c>
    </row>
    <row r="12" spans="2:11" ht="15" x14ac:dyDescent="0.3">
      <c r="B12" s="11">
        <v>54</v>
      </c>
      <c r="C12" s="11">
        <v>8</v>
      </c>
      <c r="D12" s="12" t="s">
        <v>116</v>
      </c>
      <c r="E12" s="12" t="s">
        <v>117</v>
      </c>
      <c r="F12" s="12" t="s">
        <v>321</v>
      </c>
      <c r="G12" s="12" t="s">
        <v>118</v>
      </c>
      <c r="H12" s="16">
        <v>45491</v>
      </c>
      <c r="I12" s="16">
        <v>45493</v>
      </c>
      <c r="J12" s="14">
        <v>3</v>
      </c>
      <c r="K12" s="15">
        <v>3</v>
      </c>
    </row>
    <row r="13" spans="2:11" ht="45" x14ac:dyDescent="0.3">
      <c r="B13" s="11">
        <v>60</v>
      </c>
      <c r="C13" s="11">
        <v>9</v>
      </c>
      <c r="D13" s="12" t="s">
        <v>126</v>
      </c>
      <c r="E13" s="12" t="s">
        <v>127</v>
      </c>
      <c r="F13" s="12" t="s">
        <v>321</v>
      </c>
      <c r="G13" s="12" t="s">
        <v>128</v>
      </c>
      <c r="H13" s="16">
        <v>45502</v>
      </c>
      <c r="I13" s="16">
        <v>45503</v>
      </c>
      <c r="J13" s="14">
        <v>2</v>
      </c>
      <c r="K13" s="15">
        <v>4</v>
      </c>
    </row>
    <row r="14" spans="2:11" ht="30" x14ac:dyDescent="0.3">
      <c r="B14" s="11">
        <v>65</v>
      </c>
      <c r="C14" s="11">
        <v>10</v>
      </c>
      <c r="D14" s="17" t="s">
        <v>131</v>
      </c>
      <c r="E14" s="14" t="s">
        <v>132</v>
      </c>
      <c r="F14" s="14" t="s">
        <v>321</v>
      </c>
      <c r="G14" s="14" t="s">
        <v>20</v>
      </c>
      <c r="H14" s="19">
        <v>45481</v>
      </c>
      <c r="I14" s="19">
        <v>45485</v>
      </c>
      <c r="J14" s="14">
        <v>5</v>
      </c>
      <c r="K14" s="15">
        <v>2</v>
      </c>
    </row>
    <row r="15" spans="2:11" ht="30" x14ac:dyDescent="0.3">
      <c r="B15" s="11">
        <v>66</v>
      </c>
      <c r="C15" s="11">
        <v>11</v>
      </c>
      <c r="D15" s="17" t="s">
        <v>133</v>
      </c>
      <c r="E15" s="14" t="s">
        <v>132</v>
      </c>
      <c r="F15" s="14" t="s">
        <v>321</v>
      </c>
      <c r="G15" s="14" t="s">
        <v>134</v>
      </c>
      <c r="H15" s="19">
        <v>45509</v>
      </c>
      <c r="I15" s="19">
        <v>45511</v>
      </c>
      <c r="J15" s="14">
        <v>3</v>
      </c>
      <c r="K15" s="15">
        <v>1</v>
      </c>
    </row>
    <row r="16" spans="2:11" ht="30" x14ac:dyDescent="0.3">
      <c r="B16" s="11">
        <v>67</v>
      </c>
      <c r="C16" s="11">
        <v>12</v>
      </c>
      <c r="D16" s="17" t="s">
        <v>135</v>
      </c>
      <c r="E16" s="14" t="s">
        <v>132</v>
      </c>
      <c r="F16" s="14" t="s">
        <v>321</v>
      </c>
      <c r="G16" s="14" t="s">
        <v>29</v>
      </c>
      <c r="H16" s="19">
        <v>45523</v>
      </c>
      <c r="I16" s="19">
        <v>45524</v>
      </c>
      <c r="J16" s="14">
        <v>2</v>
      </c>
      <c r="K16" s="15">
        <v>1</v>
      </c>
    </row>
    <row r="17" spans="2:11" ht="30" x14ac:dyDescent="0.3">
      <c r="B17" s="11">
        <v>68</v>
      </c>
      <c r="C17" s="11">
        <v>13</v>
      </c>
      <c r="D17" s="17" t="s">
        <v>136</v>
      </c>
      <c r="E17" s="14" t="s">
        <v>132</v>
      </c>
      <c r="F17" s="14" t="s">
        <v>321</v>
      </c>
      <c r="G17" s="14" t="s">
        <v>23</v>
      </c>
      <c r="H17" s="16">
        <v>45531</v>
      </c>
      <c r="I17" s="16">
        <v>45535</v>
      </c>
      <c r="J17" s="14">
        <v>5</v>
      </c>
      <c r="K17" s="15">
        <v>2</v>
      </c>
    </row>
    <row r="18" spans="2:11" ht="15.6" x14ac:dyDescent="0.3">
      <c r="B18" s="11">
        <v>69</v>
      </c>
      <c r="C18" s="11">
        <v>14</v>
      </c>
      <c r="D18" s="22" t="s">
        <v>137</v>
      </c>
      <c r="E18" s="14" t="s">
        <v>138</v>
      </c>
      <c r="F18" s="14" t="s">
        <v>321</v>
      </c>
      <c r="G18" s="12" t="s">
        <v>139</v>
      </c>
      <c r="H18" s="16">
        <v>45481</v>
      </c>
      <c r="I18" s="16">
        <v>45485</v>
      </c>
      <c r="J18" s="14">
        <v>5</v>
      </c>
      <c r="K18" s="15">
        <v>5</v>
      </c>
    </row>
    <row r="19" spans="2:11" ht="30" x14ac:dyDescent="0.3">
      <c r="B19" s="11">
        <v>71</v>
      </c>
      <c r="C19" s="11">
        <v>15</v>
      </c>
      <c r="D19" s="12" t="s">
        <v>142</v>
      </c>
      <c r="E19" s="12" t="s">
        <v>143</v>
      </c>
      <c r="F19" s="12" t="s">
        <v>321</v>
      </c>
      <c r="G19" s="12" t="s">
        <v>79</v>
      </c>
      <c r="H19" s="16">
        <v>45532</v>
      </c>
      <c r="I19" s="16">
        <v>45534</v>
      </c>
      <c r="J19" s="14">
        <v>3</v>
      </c>
      <c r="K19" s="15">
        <v>3</v>
      </c>
    </row>
    <row r="20" spans="2:11" ht="45" x14ac:dyDescent="0.3">
      <c r="B20" s="11">
        <v>72</v>
      </c>
      <c r="C20" s="11">
        <v>16</v>
      </c>
      <c r="D20" s="12" t="s">
        <v>144</v>
      </c>
      <c r="E20" s="12" t="s">
        <v>70</v>
      </c>
      <c r="F20" s="12" t="s">
        <v>321</v>
      </c>
      <c r="G20" s="12" t="s">
        <v>23</v>
      </c>
      <c r="H20" s="16">
        <v>45533</v>
      </c>
      <c r="I20" s="16">
        <v>45534</v>
      </c>
      <c r="J20" s="14">
        <v>2</v>
      </c>
      <c r="K20" s="15">
        <v>2</v>
      </c>
    </row>
    <row r="21" spans="2:11" ht="30" x14ac:dyDescent="0.3">
      <c r="B21" s="11">
        <v>74</v>
      </c>
      <c r="C21" s="11">
        <v>17</v>
      </c>
      <c r="D21" s="12" t="s">
        <v>146</v>
      </c>
      <c r="E21" s="12" t="s">
        <v>147</v>
      </c>
      <c r="F21" s="12" t="s">
        <v>321</v>
      </c>
      <c r="G21" s="12" t="s">
        <v>79</v>
      </c>
      <c r="H21" s="16">
        <v>45524</v>
      </c>
      <c r="I21" s="16">
        <v>45525</v>
      </c>
      <c r="J21" s="14">
        <v>2</v>
      </c>
      <c r="K21" s="15">
        <v>3</v>
      </c>
    </row>
    <row r="22" spans="2:11" ht="15" x14ac:dyDescent="0.3">
      <c r="B22" s="11">
        <v>99</v>
      </c>
      <c r="C22" s="11">
        <v>18</v>
      </c>
      <c r="D22" s="12" t="s">
        <v>178</v>
      </c>
      <c r="E22" s="12" t="s">
        <v>63</v>
      </c>
      <c r="F22" s="12" t="s">
        <v>321</v>
      </c>
      <c r="G22" s="12" t="s">
        <v>64</v>
      </c>
      <c r="H22" s="16">
        <v>45559</v>
      </c>
      <c r="I22" s="16">
        <v>45562</v>
      </c>
      <c r="J22" s="14">
        <v>4</v>
      </c>
      <c r="K22" s="15">
        <v>3</v>
      </c>
    </row>
    <row r="23" spans="2:11" ht="15" x14ac:dyDescent="0.3">
      <c r="B23" s="11">
        <v>101</v>
      </c>
      <c r="C23" s="11">
        <v>19</v>
      </c>
      <c r="D23" s="12" t="s">
        <v>181</v>
      </c>
      <c r="E23" s="12" t="s">
        <v>182</v>
      </c>
      <c r="F23" s="12" t="s">
        <v>321</v>
      </c>
      <c r="G23" s="12" t="s">
        <v>79</v>
      </c>
      <c r="H23" s="16">
        <v>45559</v>
      </c>
      <c r="I23" s="16">
        <v>45560</v>
      </c>
      <c r="J23" s="14">
        <v>2</v>
      </c>
      <c r="K23" s="15">
        <v>3</v>
      </c>
    </row>
    <row r="24" spans="2:11" ht="45" x14ac:dyDescent="0.3">
      <c r="B24" s="11">
        <v>103</v>
      </c>
      <c r="C24" s="11">
        <v>20</v>
      </c>
      <c r="D24" s="24" t="s">
        <v>184</v>
      </c>
      <c r="E24" s="12" t="s">
        <v>127</v>
      </c>
      <c r="F24" s="24" t="s">
        <v>321</v>
      </c>
      <c r="G24" s="24" t="s">
        <v>128</v>
      </c>
      <c r="H24" s="16">
        <v>45561</v>
      </c>
      <c r="I24" s="16">
        <v>45562</v>
      </c>
      <c r="J24" s="14">
        <v>2</v>
      </c>
      <c r="K24" s="15">
        <v>4</v>
      </c>
    </row>
    <row r="25" spans="2:11" ht="15.6" x14ac:dyDescent="0.3">
      <c r="B25" s="11">
        <v>104</v>
      </c>
      <c r="C25" s="11">
        <v>21</v>
      </c>
      <c r="D25" s="24" t="s">
        <v>185</v>
      </c>
      <c r="E25" s="24" t="s">
        <v>117</v>
      </c>
      <c r="F25" s="24" t="s">
        <v>321</v>
      </c>
      <c r="G25" s="24" t="s">
        <v>186</v>
      </c>
      <c r="H25" s="16">
        <v>45559</v>
      </c>
      <c r="I25" s="16">
        <v>45559</v>
      </c>
      <c r="J25" s="14">
        <v>1</v>
      </c>
      <c r="K25" s="15">
        <v>44</v>
      </c>
    </row>
    <row r="26" spans="2:11" ht="15.6" x14ac:dyDescent="0.3">
      <c r="B26" s="11">
        <v>107</v>
      </c>
      <c r="C26" s="11">
        <v>22</v>
      </c>
      <c r="D26" s="22" t="s">
        <v>137</v>
      </c>
      <c r="E26" s="14" t="s">
        <v>138</v>
      </c>
      <c r="F26" s="14" t="s">
        <v>321</v>
      </c>
      <c r="G26" s="12" t="s">
        <v>139</v>
      </c>
      <c r="H26" s="16">
        <v>45558</v>
      </c>
      <c r="I26" s="16">
        <v>45562</v>
      </c>
      <c r="J26" s="14">
        <v>5</v>
      </c>
      <c r="K26" s="15">
        <v>4</v>
      </c>
    </row>
    <row r="27" spans="2:11" ht="15" x14ac:dyDescent="0.3">
      <c r="B27" s="11">
        <v>108</v>
      </c>
      <c r="C27" s="11">
        <v>23</v>
      </c>
      <c r="D27" s="12" t="s">
        <v>191</v>
      </c>
      <c r="E27" s="17" t="s">
        <v>53</v>
      </c>
      <c r="F27" s="12" t="s">
        <v>321</v>
      </c>
      <c r="G27" s="12" t="s">
        <v>54</v>
      </c>
      <c r="H27" s="16">
        <v>45586</v>
      </c>
      <c r="I27" s="16">
        <v>45591</v>
      </c>
      <c r="J27" s="14">
        <v>6</v>
      </c>
      <c r="K27" s="15">
        <v>4</v>
      </c>
    </row>
    <row r="28" spans="2:11" ht="45" x14ac:dyDescent="0.3">
      <c r="B28" s="11">
        <v>121</v>
      </c>
      <c r="C28" s="11">
        <v>24</v>
      </c>
      <c r="D28" s="12" t="s">
        <v>111</v>
      </c>
      <c r="E28" s="12" t="s">
        <v>112</v>
      </c>
      <c r="F28" s="12" t="s">
        <v>321</v>
      </c>
      <c r="G28" s="12" t="s">
        <v>113</v>
      </c>
      <c r="H28" s="13">
        <v>45554</v>
      </c>
      <c r="I28" s="16">
        <v>45556</v>
      </c>
      <c r="J28" s="14">
        <v>3</v>
      </c>
      <c r="K28" s="15">
        <v>2</v>
      </c>
    </row>
    <row r="29" spans="2:11" ht="45" x14ac:dyDescent="0.3">
      <c r="B29" s="11">
        <v>122</v>
      </c>
      <c r="C29" s="11">
        <v>25</v>
      </c>
      <c r="D29" s="12" t="s">
        <v>111</v>
      </c>
      <c r="E29" s="12" t="s">
        <v>112</v>
      </c>
      <c r="F29" s="12" t="s">
        <v>321</v>
      </c>
      <c r="G29" s="12" t="s">
        <v>113</v>
      </c>
      <c r="H29" s="13">
        <v>45582</v>
      </c>
      <c r="I29" s="16">
        <v>45584</v>
      </c>
      <c r="J29" s="14">
        <v>3</v>
      </c>
      <c r="K29" s="15">
        <v>2</v>
      </c>
    </row>
    <row r="30" spans="2:11" ht="45" x14ac:dyDescent="0.3">
      <c r="B30" s="11">
        <v>123</v>
      </c>
      <c r="C30" s="11">
        <v>26</v>
      </c>
      <c r="D30" s="12" t="s">
        <v>111</v>
      </c>
      <c r="E30" s="12" t="s">
        <v>112</v>
      </c>
      <c r="F30" s="12" t="s">
        <v>321</v>
      </c>
      <c r="G30" s="12" t="s">
        <v>113</v>
      </c>
      <c r="H30" s="13">
        <v>45603</v>
      </c>
      <c r="I30" s="16">
        <v>45605</v>
      </c>
      <c r="J30" s="14">
        <v>3</v>
      </c>
      <c r="K30" s="15">
        <v>2</v>
      </c>
    </row>
    <row r="31" spans="2:11" ht="45" x14ac:dyDescent="0.3">
      <c r="B31" s="11">
        <v>124</v>
      </c>
      <c r="C31" s="11">
        <v>27</v>
      </c>
      <c r="D31" s="12" t="s">
        <v>198</v>
      </c>
      <c r="E31" s="12" t="s">
        <v>199</v>
      </c>
      <c r="F31" s="12" t="s">
        <v>321</v>
      </c>
      <c r="G31" s="12" t="s">
        <v>50</v>
      </c>
      <c r="H31" s="16">
        <v>45587</v>
      </c>
      <c r="I31" s="16">
        <v>45590</v>
      </c>
      <c r="J31" s="14">
        <v>4</v>
      </c>
      <c r="K31" s="15">
        <v>3</v>
      </c>
    </row>
    <row r="32" spans="2:11" ht="30" x14ac:dyDescent="0.3">
      <c r="B32" s="11">
        <v>125</v>
      </c>
      <c r="C32" s="11">
        <v>28</v>
      </c>
      <c r="D32" s="12" t="s">
        <v>200</v>
      </c>
      <c r="E32" s="12" t="s">
        <v>199</v>
      </c>
      <c r="F32" s="12" t="s">
        <v>321</v>
      </c>
      <c r="G32" s="12" t="s">
        <v>50</v>
      </c>
      <c r="H32" s="16">
        <v>45701</v>
      </c>
      <c r="I32" s="16">
        <v>45702</v>
      </c>
      <c r="J32" s="14">
        <v>2</v>
      </c>
      <c r="K32" s="15">
        <v>3</v>
      </c>
    </row>
    <row r="33" spans="2:11" ht="45" x14ac:dyDescent="0.3">
      <c r="B33" s="11">
        <v>126</v>
      </c>
      <c r="C33" s="11">
        <v>29</v>
      </c>
      <c r="D33" s="12" t="s">
        <v>201</v>
      </c>
      <c r="E33" s="12" t="s">
        <v>199</v>
      </c>
      <c r="F33" s="12" t="s">
        <v>321</v>
      </c>
      <c r="G33" s="12" t="s">
        <v>50</v>
      </c>
      <c r="H33" s="16">
        <v>45673</v>
      </c>
      <c r="I33" s="16">
        <v>45674</v>
      </c>
      <c r="J33" s="14">
        <v>2</v>
      </c>
      <c r="K33" s="15">
        <v>3</v>
      </c>
    </row>
    <row r="34" spans="2:11" ht="30" x14ac:dyDescent="0.3">
      <c r="B34" s="11">
        <v>127</v>
      </c>
      <c r="C34" s="11">
        <v>30</v>
      </c>
      <c r="D34" s="12" t="s">
        <v>202</v>
      </c>
      <c r="E34" s="12" t="s">
        <v>163</v>
      </c>
      <c r="F34" s="12" t="s">
        <v>321</v>
      </c>
      <c r="G34" s="12" t="s">
        <v>186</v>
      </c>
      <c r="H34" s="16">
        <v>45580</v>
      </c>
      <c r="I34" s="16">
        <v>45580</v>
      </c>
      <c r="J34" s="14">
        <v>1</v>
      </c>
      <c r="K34" s="15">
        <v>3</v>
      </c>
    </row>
    <row r="35" spans="2:11" ht="45" x14ac:dyDescent="0.3">
      <c r="B35" s="11">
        <v>131</v>
      </c>
      <c r="C35" s="11">
        <v>31</v>
      </c>
      <c r="D35" s="12" t="s">
        <v>206</v>
      </c>
      <c r="E35" s="12" t="s">
        <v>182</v>
      </c>
      <c r="F35" s="12" t="s">
        <v>321</v>
      </c>
      <c r="G35" s="12" t="s">
        <v>23</v>
      </c>
      <c r="H35" s="16">
        <v>45617</v>
      </c>
      <c r="I35" s="16">
        <v>45618</v>
      </c>
      <c r="J35" s="14">
        <v>2</v>
      </c>
      <c r="K35" s="15">
        <v>3</v>
      </c>
    </row>
    <row r="36" spans="2:11" ht="30.6" x14ac:dyDescent="0.3">
      <c r="B36" s="11">
        <v>132</v>
      </c>
      <c r="C36" s="11">
        <v>32</v>
      </c>
      <c r="D36" s="24" t="s">
        <v>207</v>
      </c>
      <c r="E36" s="21" t="s">
        <v>208</v>
      </c>
      <c r="F36" s="24" t="s">
        <v>321</v>
      </c>
      <c r="G36" s="24" t="s">
        <v>57</v>
      </c>
      <c r="H36" s="16">
        <v>45610</v>
      </c>
      <c r="I36" s="16">
        <v>45611</v>
      </c>
      <c r="J36" s="14">
        <v>2</v>
      </c>
      <c r="K36" s="15">
        <v>3</v>
      </c>
    </row>
    <row r="37" spans="2:11" ht="30" x14ac:dyDescent="0.3">
      <c r="B37" s="11">
        <v>135</v>
      </c>
      <c r="C37" s="11">
        <v>33</v>
      </c>
      <c r="D37" s="24" t="s">
        <v>213</v>
      </c>
      <c r="E37" s="21" t="s">
        <v>214</v>
      </c>
      <c r="F37" s="24" t="s">
        <v>321</v>
      </c>
      <c r="G37" s="24" t="s">
        <v>23</v>
      </c>
      <c r="H37" s="16">
        <v>45616</v>
      </c>
      <c r="I37" s="16">
        <v>45618</v>
      </c>
      <c r="J37" s="14">
        <v>3</v>
      </c>
      <c r="K37" s="15">
        <v>1</v>
      </c>
    </row>
    <row r="38" spans="2:11" ht="15" x14ac:dyDescent="0.3">
      <c r="B38" s="11">
        <v>137</v>
      </c>
      <c r="C38" s="11">
        <v>34</v>
      </c>
      <c r="D38" s="14" t="s">
        <v>217</v>
      </c>
      <c r="E38" s="14" t="s">
        <v>117</v>
      </c>
      <c r="F38" s="14" t="s">
        <v>321</v>
      </c>
      <c r="G38" s="14" t="s">
        <v>186</v>
      </c>
      <c r="H38" s="13">
        <v>45574</v>
      </c>
      <c r="I38" s="13">
        <v>45576</v>
      </c>
      <c r="J38" s="14">
        <v>3</v>
      </c>
      <c r="K38" s="15">
        <v>43</v>
      </c>
    </row>
    <row r="39" spans="2:11" ht="15" x14ac:dyDescent="0.3">
      <c r="B39" s="11">
        <v>138</v>
      </c>
      <c r="C39" s="11">
        <v>35</v>
      </c>
      <c r="D39" s="14" t="s">
        <v>217</v>
      </c>
      <c r="E39" s="14" t="s">
        <v>117</v>
      </c>
      <c r="F39" s="14" t="s">
        <v>321</v>
      </c>
      <c r="G39" s="14" t="s">
        <v>186</v>
      </c>
      <c r="H39" s="13">
        <v>45582</v>
      </c>
      <c r="I39" s="13">
        <v>45584</v>
      </c>
      <c r="J39" s="14">
        <v>3</v>
      </c>
      <c r="K39" s="15">
        <v>30</v>
      </c>
    </row>
    <row r="40" spans="2:11" ht="30" x14ac:dyDescent="0.3">
      <c r="B40" s="11">
        <v>140</v>
      </c>
      <c r="C40" s="11">
        <v>36</v>
      </c>
      <c r="D40" s="14" t="s">
        <v>219</v>
      </c>
      <c r="E40" s="14" t="s">
        <v>117</v>
      </c>
      <c r="F40" s="14" t="s">
        <v>321</v>
      </c>
      <c r="G40" s="14" t="s">
        <v>186</v>
      </c>
      <c r="H40" s="13">
        <v>45614</v>
      </c>
      <c r="I40" s="13">
        <v>45616</v>
      </c>
      <c r="J40" s="14">
        <v>3</v>
      </c>
      <c r="K40" s="15">
        <v>36</v>
      </c>
    </row>
    <row r="41" spans="2:11" ht="30" x14ac:dyDescent="0.3">
      <c r="B41" s="11">
        <v>141</v>
      </c>
      <c r="C41" s="11">
        <v>37</v>
      </c>
      <c r="D41" s="14" t="s">
        <v>219</v>
      </c>
      <c r="E41" s="14" t="s">
        <v>117</v>
      </c>
      <c r="F41" s="14" t="s">
        <v>321</v>
      </c>
      <c r="G41" s="14" t="s">
        <v>186</v>
      </c>
      <c r="H41" s="13">
        <v>45621</v>
      </c>
      <c r="I41" s="13">
        <v>45623</v>
      </c>
      <c r="J41" s="14">
        <v>3</v>
      </c>
      <c r="K41" s="15">
        <v>38</v>
      </c>
    </row>
    <row r="42" spans="2:11" ht="15" x14ac:dyDescent="0.3">
      <c r="B42" s="11">
        <v>150</v>
      </c>
      <c r="C42" s="11">
        <v>38</v>
      </c>
      <c r="D42" s="12" t="s">
        <v>227</v>
      </c>
      <c r="E42" s="12" t="s">
        <v>110</v>
      </c>
      <c r="F42" s="12" t="s">
        <v>321</v>
      </c>
      <c r="G42" s="12" t="s">
        <v>24</v>
      </c>
      <c r="H42" s="16">
        <v>45625</v>
      </c>
      <c r="I42" s="16">
        <v>45625</v>
      </c>
      <c r="J42" s="14">
        <v>1</v>
      </c>
      <c r="K42" s="15">
        <v>11</v>
      </c>
    </row>
    <row r="43" spans="2:11" ht="30" x14ac:dyDescent="0.3">
      <c r="B43" s="11">
        <v>155</v>
      </c>
      <c r="C43" s="11">
        <v>39</v>
      </c>
      <c r="D43" s="14" t="s">
        <v>219</v>
      </c>
      <c r="E43" s="14" t="s">
        <v>117</v>
      </c>
      <c r="F43" s="14" t="s">
        <v>321</v>
      </c>
      <c r="G43" s="14" t="s">
        <v>186</v>
      </c>
      <c r="H43" s="16">
        <v>45631</v>
      </c>
      <c r="I43" s="16">
        <v>45633</v>
      </c>
      <c r="J43" s="14">
        <v>3</v>
      </c>
      <c r="K43" s="15">
        <v>37</v>
      </c>
    </row>
    <row r="44" spans="2:11" ht="30" x14ac:dyDescent="0.3">
      <c r="B44" s="11">
        <v>156</v>
      </c>
      <c r="C44" s="11">
        <v>40</v>
      </c>
      <c r="D44" s="14" t="s">
        <v>219</v>
      </c>
      <c r="E44" s="14" t="s">
        <v>117</v>
      </c>
      <c r="F44" s="14" t="s">
        <v>321</v>
      </c>
      <c r="G44" s="14" t="s">
        <v>186</v>
      </c>
      <c r="H44" s="16">
        <v>45637</v>
      </c>
      <c r="I44" s="16">
        <v>45639</v>
      </c>
      <c r="J44" s="14">
        <v>3</v>
      </c>
      <c r="K44" s="15">
        <v>46</v>
      </c>
    </row>
    <row r="45" spans="2:11" ht="45" x14ac:dyDescent="0.3">
      <c r="B45" s="11">
        <v>159</v>
      </c>
      <c r="C45" s="11">
        <v>41</v>
      </c>
      <c r="D45" s="12" t="s">
        <v>238</v>
      </c>
      <c r="E45" s="14" t="s">
        <v>22</v>
      </c>
      <c r="F45" s="12" t="s">
        <v>321</v>
      </c>
      <c r="G45" s="12" t="s">
        <v>23</v>
      </c>
      <c r="H45" s="16">
        <v>45659</v>
      </c>
      <c r="I45" s="16">
        <v>45660</v>
      </c>
      <c r="J45" s="14">
        <v>2</v>
      </c>
      <c r="K45" s="15">
        <v>1</v>
      </c>
    </row>
    <row r="46" spans="2:11" ht="15" x14ac:dyDescent="0.3">
      <c r="B46" s="11">
        <v>161</v>
      </c>
      <c r="C46" s="11">
        <v>42</v>
      </c>
      <c r="D46" s="12" t="s">
        <v>240</v>
      </c>
      <c r="E46" s="12" t="s">
        <v>241</v>
      </c>
      <c r="F46" s="12" t="s">
        <v>321</v>
      </c>
      <c r="G46" s="12" t="s">
        <v>79</v>
      </c>
      <c r="H46" s="16">
        <v>45664</v>
      </c>
      <c r="I46" s="16">
        <v>45665</v>
      </c>
      <c r="J46" s="14">
        <v>2</v>
      </c>
      <c r="K46" s="15">
        <v>1</v>
      </c>
    </row>
    <row r="47" spans="2:11" ht="30" x14ac:dyDescent="0.3">
      <c r="B47" s="11">
        <v>168</v>
      </c>
      <c r="C47" s="11">
        <v>43</v>
      </c>
      <c r="D47" s="12" t="s">
        <v>248</v>
      </c>
      <c r="E47" s="12" t="s">
        <v>249</v>
      </c>
      <c r="F47" s="12" t="s">
        <v>321</v>
      </c>
      <c r="G47" s="12" t="s">
        <v>24</v>
      </c>
      <c r="H47" s="16">
        <v>45665</v>
      </c>
      <c r="I47" s="16">
        <v>45665</v>
      </c>
      <c r="J47" s="14">
        <v>1</v>
      </c>
      <c r="K47" s="15">
        <v>2</v>
      </c>
    </row>
    <row r="48" spans="2:11" ht="45" x14ac:dyDescent="0.3">
      <c r="B48" s="11">
        <v>169</v>
      </c>
      <c r="C48" s="11">
        <v>44</v>
      </c>
      <c r="D48" s="12" t="s">
        <v>250</v>
      </c>
      <c r="E48" s="12" t="s">
        <v>112</v>
      </c>
      <c r="F48" s="12" t="s">
        <v>321</v>
      </c>
      <c r="G48" s="12" t="s">
        <v>113</v>
      </c>
      <c r="H48" s="16">
        <v>45665</v>
      </c>
      <c r="I48" s="16">
        <v>45668</v>
      </c>
      <c r="J48" s="14">
        <v>4</v>
      </c>
      <c r="K48" s="15">
        <v>1</v>
      </c>
    </row>
    <row r="49" spans="2:11" ht="30" x14ac:dyDescent="0.3">
      <c r="B49" s="11">
        <v>170</v>
      </c>
      <c r="C49" s="11">
        <v>45</v>
      </c>
      <c r="D49" s="12" t="s">
        <v>251</v>
      </c>
      <c r="E49" s="12" t="s">
        <v>110</v>
      </c>
      <c r="F49" s="12" t="s">
        <v>321</v>
      </c>
      <c r="G49" s="12" t="s">
        <v>24</v>
      </c>
      <c r="H49" s="16">
        <v>45666</v>
      </c>
      <c r="I49" s="16">
        <v>45667</v>
      </c>
      <c r="J49" s="14">
        <v>2</v>
      </c>
      <c r="K49" s="15">
        <v>1</v>
      </c>
    </row>
    <row r="50" spans="2:11" ht="30" x14ac:dyDescent="0.3">
      <c r="B50" s="11">
        <v>177</v>
      </c>
      <c r="C50" s="11">
        <v>46</v>
      </c>
      <c r="D50" s="21" t="s">
        <v>261</v>
      </c>
      <c r="E50" s="12" t="s">
        <v>63</v>
      </c>
      <c r="F50" s="21" t="s">
        <v>321</v>
      </c>
      <c r="G50" s="21" t="s">
        <v>64</v>
      </c>
      <c r="H50" s="20">
        <v>45685</v>
      </c>
      <c r="I50" s="20">
        <v>45688</v>
      </c>
      <c r="J50" s="14">
        <v>4</v>
      </c>
      <c r="K50" s="15">
        <v>3</v>
      </c>
    </row>
    <row r="51" spans="2:11" ht="15" x14ac:dyDescent="0.3">
      <c r="B51" s="11">
        <v>178</v>
      </c>
      <c r="C51" s="11">
        <v>47</v>
      </c>
      <c r="D51" s="21" t="s">
        <v>262</v>
      </c>
      <c r="E51" s="21" t="s">
        <v>117</v>
      </c>
      <c r="F51" s="21" t="s">
        <v>321</v>
      </c>
      <c r="G51" s="21" t="s">
        <v>118</v>
      </c>
      <c r="H51" s="20">
        <v>45684</v>
      </c>
      <c r="I51" s="20">
        <v>45686</v>
      </c>
      <c r="J51" s="14">
        <v>3</v>
      </c>
      <c r="K51" s="15">
        <v>9</v>
      </c>
    </row>
    <row r="52" spans="2:11" ht="15" x14ac:dyDescent="0.3">
      <c r="B52" s="11">
        <v>180</v>
      </c>
      <c r="C52" s="11">
        <v>48</v>
      </c>
      <c r="D52" s="21" t="s">
        <v>265</v>
      </c>
      <c r="E52" s="21" t="s">
        <v>266</v>
      </c>
      <c r="F52" s="21" t="s">
        <v>321</v>
      </c>
      <c r="G52" s="21" t="s">
        <v>23</v>
      </c>
      <c r="H52" s="20">
        <v>45687</v>
      </c>
      <c r="I52" s="20">
        <v>45687</v>
      </c>
      <c r="J52" s="14">
        <v>1</v>
      </c>
      <c r="K52" s="15">
        <v>1</v>
      </c>
    </row>
    <row r="53" spans="2:11" ht="30" x14ac:dyDescent="0.3">
      <c r="B53" s="11">
        <v>182</v>
      </c>
      <c r="C53" s="11">
        <v>49</v>
      </c>
      <c r="D53" s="14" t="s">
        <v>269</v>
      </c>
      <c r="E53" s="14" t="s">
        <v>270</v>
      </c>
      <c r="F53" s="14" t="s">
        <v>321</v>
      </c>
      <c r="G53" s="14" t="s">
        <v>50</v>
      </c>
      <c r="H53" s="13">
        <v>45684</v>
      </c>
      <c r="I53" s="13">
        <v>45689</v>
      </c>
      <c r="J53" s="14">
        <v>6</v>
      </c>
      <c r="K53" s="15">
        <v>18</v>
      </c>
    </row>
    <row r="54" spans="2:11" ht="30" x14ac:dyDescent="0.3">
      <c r="B54" s="11">
        <v>183</v>
      </c>
      <c r="C54" s="11">
        <v>50</v>
      </c>
      <c r="D54" s="14" t="s">
        <v>219</v>
      </c>
      <c r="E54" s="14" t="s">
        <v>117</v>
      </c>
      <c r="F54" s="14" t="s">
        <v>321</v>
      </c>
      <c r="G54" s="14" t="s">
        <v>186</v>
      </c>
      <c r="H54" s="13">
        <v>45679</v>
      </c>
      <c r="I54" s="13">
        <v>45681</v>
      </c>
      <c r="J54" s="14">
        <v>3</v>
      </c>
      <c r="K54" s="15">
        <v>45</v>
      </c>
    </row>
    <row r="55" spans="2:11" ht="15" x14ac:dyDescent="0.3">
      <c r="B55" s="11">
        <v>184</v>
      </c>
      <c r="C55" s="11">
        <v>51</v>
      </c>
      <c r="D55" s="14" t="s">
        <v>271</v>
      </c>
      <c r="E55" s="14" t="s">
        <v>272</v>
      </c>
      <c r="F55" s="14" t="s">
        <v>321</v>
      </c>
      <c r="G55" s="14" t="s">
        <v>24</v>
      </c>
      <c r="H55" s="13">
        <v>45680</v>
      </c>
      <c r="I55" s="13">
        <v>45680</v>
      </c>
      <c r="J55" s="14">
        <v>1</v>
      </c>
      <c r="K55" s="15">
        <v>3</v>
      </c>
    </row>
    <row r="56" spans="2:11" ht="15" x14ac:dyDescent="0.3">
      <c r="B56" s="11">
        <v>185</v>
      </c>
      <c r="C56" s="11">
        <v>52</v>
      </c>
      <c r="D56" s="14" t="s">
        <v>273</v>
      </c>
      <c r="E56" s="14" t="s">
        <v>272</v>
      </c>
      <c r="F56" s="14" t="s">
        <v>321</v>
      </c>
      <c r="G56" s="14" t="s">
        <v>24</v>
      </c>
      <c r="H56" s="13">
        <v>45680</v>
      </c>
      <c r="I56" s="13">
        <v>45680</v>
      </c>
      <c r="J56" s="14">
        <v>1</v>
      </c>
      <c r="K56" s="15">
        <v>4</v>
      </c>
    </row>
    <row r="57" spans="2:11" ht="30" x14ac:dyDescent="0.3">
      <c r="B57" s="11">
        <v>186</v>
      </c>
      <c r="C57" s="11">
        <v>53</v>
      </c>
      <c r="D57" s="14" t="s">
        <v>219</v>
      </c>
      <c r="E57" s="14" t="s">
        <v>117</v>
      </c>
      <c r="F57" s="14" t="s">
        <v>321</v>
      </c>
      <c r="G57" s="14" t="s">
        <v>186</v>
      </c>
      <c r="H57" s="13">
        <v>45663</v>
      </c>
      <c r="I57" s="13">
        <v>45665</v>
      </c>
      <c r="J57" s="14">
        <v>3</v>
      </c>
      <c r="K57" s="15">
        <v>44</v>
      </c>
    </row>
    <row r="58" spans="2:11" ht="30" x14ac:dyDescent="0.3">
      <c r="B58" s="11">
        <v>187</v>
      </c>
      <c r="C58" s="11">
        <v>54</v>
      </c>
      <c r="D58" s="14" t="s">
        <v>274</v>
      </c>
      <c r="E58" s="14" t="s">
        <v>46</v>
      </c>
      <c r="F58" s="14" t="s">
        <v>321</v>
      </c>
      <c r="G58" s="14" t="s">
        <v>23</v>
      </c>
      <c r="H58" s="13">
        <v>45719</v>
      </c>
      <c r="I58" s="13">
        <v>45721</v>
      </c>
      <c r="J58" s="14">
        <v>3</v>
      </c>
      <c r="K58" s="15">
        <v>27</v>
      </c>
    </row>
    <row r="59" spans="2:11" ht="30" x14ac:dyDescent="0.3">
      <c r="B59" s="11">
        <v>188</v>
      </c>
      <c r="C59" s="11">
        <v>55</v>
      </c>
      <c r="D59" s="17" t="s">
        <v>275</v>
      </c>
      <c r="E59" s="17" t="s">
        <v>47</v>
      </c>
      <c r="F59" s="14" t="s">
        <v>321</v>
      </c>
      <c r="G59" s="14" t="s">
        <v>23</v>
      </c>
      <c r="H59" s="13">
        <v>45712</v>
      </c>
      <c r="I59" s="13">
        <v>45714</v>
      </c>
      <c r="J59" s="14">
        <v>3</v>
      </c>
      <c r="K59" s="15">
        <v>23</v>
      </c>
    </row>
    <row r="60" spans="2:11" ht="30" x14ac:dyDescent="0.3">
      <c r="B60" s="11">
        <v>189</v>
      </c>
      <c r="C60" s="11">
        <v>56</v>
      </c>
      <c r="D60" s="17" t="s">
        <v>276</v>
      </c>
      <c r="E60" s="17" t="s">
        <v>46</v>
      </c>
      <c r="F60" s="14" t="s">
        <v>321</v>
      </c>
      <c r="G60" s="17" t="s">
        <v>23</v>
      </c>
      <c r="H60" s="13">
        <v>45665</v>
      </c>
      <c r="I60" s="13">
        <v>45667</v>
      </c>
      <c r="J60" s="14">
        <v>3</v>
      </c>
      <c r="K60" s="15">
        <v>27</v>
      </c>
    </row>
    <row r="61" spans="2:11" ht="30" x14ac:dyDescent="0.3">
      <c r="B61" s="11">
        <v>190</v>
      </c>
      <c r="C61" s="11">
        <v>57</v>
      </c>
      <c r="D61" s="17" t="s">
        <v>277</v>
      </c>
      <c r="E61" s="17" t="s">
        <v>46</v>
      </c>
      <c r="F61" s="14" t="s">
        <v>321</v>
      </c>
      <c r="G61" s="17" t="s">
        <v>23</v>
      </c>
      <c r="H61" s="13">
        <v>45684</v>
      </c>
      <c r="I61" s="13">
        <v>45686</v>
      </c>
      <c r="J61" s="14">
        <v>3</v>
      </c>
      <c r="K61" s="15">
        <v>30</v>
      </c>
    </row>
    <row r="62" spans="2:11" ht="30" x14ac:dyDescent="0.3">
      <c r="B62" s="11">
        <v>191</v>
      </c>
      <c r="C62" s="11">
        <v>58</v>
      </c>
      <c r="D62" s="17" t="s">
        <v>278</v>
      </c>
      <c r="E62" s="17" t="s">
        <v>46</v>
      </c>
      <c r="F62" s="14" t="s">
        <v>321</v>
      </c>
      <c r="G62" s="17" t="s">
        <v>23</v>
      </c>
      <c r="H62" s="13">
        <v>45698</v>
      </c>
      <c r="I62" s="13">
        <v>45700</v>
      </c>
      <c r="J62" s="14">
        <v>3</v>
      </c>
      <c r="K62" s="15">
        <v>31</v>
      </c>
    </row>
    <row r="63" spans="2:11" ht="30" x14ac:dyDescent="0.3">
      <c r="B63" s="11">
        <v>192</v>
      </c>
      <c r="C63" s="11">
        <v>59</v>
      </c>
      <c r="D63" s="14" t="s">
        <v>137</v>
      </c>
      <c r="E63" s="14" t="s">
        <v>138</v>
      </c>
      <c r="F63" s="14" t="s">
        <v>321</v>
      </c>
      <c r="G63" s="14" t="s">
        <v>139</v>
      </c>
      <c r="H63" s="13">
        <v>45717</v>
      </c>
      <c r="I63" s="13">
        <v>45721</v>
      </c>
      <c r="J63" s="14">
        <v>5</v>
      </c>
      <c r="K63" s="15">
        <v>4</v>
      </c>
    </row>
    <row r="64" spans="2:11" ht="30" x14ac:dyDescent="0.3">
      <c r="B64" s="11">
        <v>193</v>
      </c>
      <c r="C64" s="11">
        <v>60</v>
      </c>
      <c r="D64" s="21" t="s">
        <v>279</v>
      </c>
      <c r="E64" s="21" t="s">
        <v>182</v>
      </c>
      <c r="F64" s="21" t="s">
        <v>321</v>
      </c>
      <c r="G64" s="21" t="s">
        <v>36</v>
      </c>
      <c r="H64" s="20">
        <v>45710</v>
      </c>
      <c r="I64" s="20">
        <v>45714</v>
      </c>
      <c r="J64" s="14">
        <v>5</v>
      </c>
      <c r="K64" s="15">
        <v>3</v>
      </c>
    </row>
    <row r="65" spans="2:11" ht="30" x14ac:dyDescent="0.3">
      <c r="B65" s="11">
        <v>195</v>
      </c>
      <c r="C65" s="11">
        <v>61</v>
      </c>
      <c r="D65" s="21" t="s">
        <v>281</v>
      </c>
      <c r="E65" s="12" t="s">
        <v>63</v>
      </c>
      <c r="F65" s="21" t="s">
        <v>321</v>
      </c>
      <c r="G65" s="21" t="s">
        <v>64</v>
      </c>
      <c r="H65" s="20">
        <v>45692</v>
      </c>
      <c r="I65" s="20">
        <v>45695</v>
      </c>
      <c r="J65" s="14">
        <v>4</v>
      </c>
      <c r="K65" s="15">
        <v>3</v>
      </c>
    </row>
    <row r="66" spans="2:11" ht="30.6" x14ac:dyDescent="0.3">
      <c r="B66" s="11">
        <v>198</v>
      </c>
      <c r="C66" s="11">
        <v>62</v>
      </c>
      <c r="D66" s="25" t="s">
        <v>283</v>
      </c>
      <c r="E66" s="25" t="s">
        <v>284</v>
      </c>
      <c r="F66" s="21" t="s">
        <v>321</v>
      </c>
      <c r="G66" s="21" t="s">
        <v>118</v>
      </c>
      <c r="H66" s="20">
        <v>45699</v>
      </c>
      <c r="I66" s="20">
        <v>45699</v>
      </c>
      <c r="J66" s="14">
        <v>1</v>
      </c>
      <c r="K66" s="15">
        <v>1</v>
      </c>
    </row>
    <row r="67" spans="2:11" ht="30" x14ac:dyDescent="0.3">
      <c r="B67" s="11">
        <v>201</v>
      </c>
      <c r="C67" s="11">
        <v>63</v>
      </c>
      <c r="D67" s="21" t="s">
        <v>289</v>
      </c>
      <c r="E67" s="21" t="s">
        <v>290</v>
      </c>
      <c r="F67" s="21" t="s">
        <v>321</v>
      </c>
      <c r="G67" s="21" t="s">
        <v>291</v>
      </c>
      <c r="H67" s="20">
        <v>45701</v>
      </c>
      <c r="I67" s="20">
        <v>45704</v>
      </c>
      <c r="J67" s="14">
        <v>4</v>
      </c>
      <c r="K67" s="15">
        <v>2</v>
      </c>
    </row>
    <row r="68" spans="2:11" ht="15" x14ac:dyDescent="0.3">
      <c r="B68" s="11">
        <v>205</v>
      </c>
      <c r="C68" s="11">
        <v>64</v>
      </c>
      <c r="D68" s="21" t="s">
        <v>297</v>
      </c>
      <c r="E68" s="21" t="s">
        <v>298</v>
      </c>
      <c r="F68" s="21" t="s">
        <v>321</v>
      </c>
      <c r="G68" s="21" t="s">
        <v>24</v>
      </c>
      <c r="H68" s="20">
        <v>45713</v>
      </c>
      <c r="I68" s="20">
        <v>45713</v>
      </c>
      <c r="J68" s="14">
        <v>1</v>
      </c>
      <c r="K68" s="15">
        <v>12</v>
      </c>
    </row>
    <row r="69" spans="2:11" ht="30.6" x14ac:dyDescent="0.3">
      <c r="B69" s="11">
        <v>211</v>
      </c>
      <c r="C69" s="11">
        <v>65</v>
      </c>
      <c r="D69" s="25" t="s">
        <v>303</v>
      </c>
      <c r="E69" s="25" t="s">
        <v>259</v>
      </c>
      <c r="F69" s="25" t="s">
        <v>321</v>
      </c>
      <c r="G69" s="25" t="s">
        <v>23</v>
      </c>
      <c r="H69" s="20">
        <v>45720</v>
      </c>
      <c r="I69" s="20">
        <v>45720</v>
      </c>
      <c r="J69" s="14">
        <v>1</v>
      </c>
      <c r="K69" s="15">
        <v>3</v>
      </c>
    </row>
    <row r="70" spans="2:11" ht="30" x14ac:dyDescent="0.3">
      <c r="B70" s="11">
        <v>212</v>
      </c>
      <c r="C70" s="11">
        <v>66</v>
      </c>
      <c r="D70" s="21" t="s">
        <v>304</v>
      </c>
      <c r="E70" s="21" t="s">
        <v>208</v>
      </c>
      <c r="F70" s="21" t="s">
        <v>321</v>
      </c>
      <c r="G70" s="21" t="s">
        <v>23</v>
      </c>
      <c r="H70" s="20">
        <v>45734</v>
      </c>
      <c r="I70" s="20">
        <v>45738</v>
      </c>
      <c r="J70" s="14">
        <v>5</v>
      </c>
      <c r="K70" s="15">
        <v>4</v>
      </c>
    </row>
    <row r="71" spans="2:11" ht="30" x14ac:dyDescent="0.3">
      <c r="B71" s="11">
        <v>217</v>
      </c>
      <c r="C71" s="11">
        <v>67</v>
      </c>
      <c r="D71" s="21" t="s">
        <v>309</v>
      </c>
      <c r="E71" s="21" t="s">
        <v>214</v>
      </c>
      <c r="F71" s="21" t="s">
        <v>321</v>
      </c>
      <c r="G71" s="21" t="s">
        <v>23</v>
      </c>
      <c r="H71" s="20">
        <v>45727</v>
      </c>
      <c r="I71" s="20">
        <v>45727</v>
      </c>
      <c r="J71" s="14">
        <v>1</v>
      </c>
      <c r="K71" s="15">
        <v>1</v>
      </c>
    </row>
    <row r="72" spans="2:11" ht="45" x14ac:dyDescent="0.3">
      <c r="B72" s="11">
        <v>219</v>
      </c>
      <c r="C72" s="11">
        <v>68</v>
      </c>
      <c r="D72" s="12" t="s">
        <v>111</v>
      </c>
      <c r="E72" s="12" t="s">
        <v>112</v>
      </c>
      <c r="F72" s="12" t="s">
        <v>321</v>
      </c>
      <c r="G72" s="12" t="s">
        <v>113</v>
      </c>
      <c r="H72" s="13">
        <v>45736</v>
      </c>
      <c r="I72" s="16">
        <v>45738</v>
      </c>
      <c r="J72" s="14">
        <v>3</v>
      </c>
      <c r="K72" s="15">
        <v>2</v>
      </c>
    </row>
    <row r="73" spans="2:11" ht="15" x14ac:dyDescent="0.3">
      <c r="B73" s="11">
        <v>220</v>
      </c>
      <c r="C73" s="11">
        <v>69</v>
      </c>
      <c r="D73" s="21" t="s">
        <v>313</v>
      </c>
      <c r="E73" s="21" t="s">
        <v>314</v>
      </c>
      <c r="F73" s="21" t="s">
        <v>321</v>
      </c>
      <c r="G73" s="21" t="s">
        <v>296</v>
      </c>
      <c r="H73" s="20">
        <v>45733</v>
      </c>
      <c r="I73" s="20">
        <v>45735</v>
      </c>
      <c r="J73" s="14">
        <v>3</v>
      </c>
      <c r="K73" s="15">
        <v>1</v>
      </c>
    </row>
    <row r="74" spans="2:11" ht="30" x14ac:dyDescent="0.3">
      <c r="B74" s="11">
        <v>223</v>
      </c>
      <c r="C74" s="11">
        <v>70</v>
      </c>
      <c r="D74" s="14" t="s">
        <v>318</v>
      </c>
      <c r="E74" s="14" t="s">
        <v>319</v>
      </c>
      <c r="F74" s="14" t="s">
        <v>321</v>
      </c>
      <c r="G74" s="14" t="s">
        <v>320</v>
      </c>
      <c r="H74" s="13">
        <v>45734</v>
      </c>
      <c r="I74" s="13">
        <v>45738</v>
      </c>
      <c r="J74" s="14">
        <v>5</v>
      </c>
      <c r="K74" s="15">
        <v>3</v>
      </c>
    </row>
    <row r="75" spans="2:11" ht="30" x14ac:dyDescent="0.3">
      <c r="B75" s="11">
        <v>224</v>
      </c>
      <c r="C75" s="11">
        <v>71</v>
      </c>
      <c r="D75" s="14" t="s">
        <v>318</v>
      </c>
      <c r="E75" s="14" t="s">
        <v>319</v>
      </c>
      <c r="F75" s="14" t="s">
        <v>321</v>
      </c>
      <c r="G75" s="14" t="s">
        <v>320</v>
      </c>
      <c r="H75" s="13">
        <v>45741</v>
      </c>
      <c r="I75" s="13">
        <v>45745</v>
      </c>
      <c r="J75" s="14">
        <v>5</v>
      </c>
      <c r="K75" s="15">
        <v>4</v>
      </c>
    </row>
    <row r="76" spans="2:11" ht="30" x14ac:dyDescent="0.3">
      <c r="B76" s="11">
        <v>225</v>
      </c>
      <c r="C76" s="11">
        <v>72</v>
      </c>
      <c r="D76" s="14" t="s">
        <v>318</v>
      </c>
      <c r="E76" s="14" t="s">
        <v>319</v>
      </c>
      <c r="F76" s="14" t="s">
        <v>321</v>
      </c>
      <c r="G76" s="14" t="s">
        <v>320</v>
      </c>
      <c r="H76" s="13">
        <v>45741</v>
      </c>
      <c r="I76" s="13">
        <v>45745</v>
      </c>
      <c r="J76" s="14">
        <v>5</v>
      </c>
      <c r="K76" s="15">
        <v>5</v>
      </c>
    </row>
  </sheetData>
  <mergeCells count="1">
    <mergeCell ref="C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2"/>
  <sheetViews>
    <sheetView workbookViewId="0">
      <selection activeCell="C2" sqref="C2:K2"/>
    </sheetView>
  </sheetViews>
  <sheetFormatPr defaultRowHeight="14.4" x14ac:dyDescent="0.3"/>
  <cols>
    <col min="2" max="2" width="0" hidden="1" customWidth="1"/>
    <col min="4" max="4" width="48.109375" customWidth="1"/>
    <col min="5" max="5" width="32.33203125" customWidth="1"/>
    <col min="6" max="6" width="16.88671875" customWidth="1"/>
    <col min="7" max="7" width="17.88671875" customWidth="1"/>
    <col min="8" max="8" width="17.5546875" customWidth="1"/>
    <col min="9" max="9" width="16.6640625" customWidth="1"/>
  </cols>
  <sheetData>
    <row r="2" spans="2:11" ht="33.75" customHeight="1" x14ac:dyDescent="0.3">
      <c r="C2" s="30" t="str">
        <f>"External Training Detail For Year 2024-25 ("&amp;K4&amp;")"</f>
        <v>External Training Detail For Year 2024-25 (DGVCL)</v>
      </c>
      <c r="D2" s="30"/>
      <c r="E2" s="30"/>
      <c r="F2" s="30"/>
      <c r="G2" s="30"/>
      <c r="H2" s="30"/>
      <c r="I2" s="30"/>
      <c r="J2" s="30"/>
      <c r="K2" s="30"/>
    </row>
    <row r="4" spans="2:11" ht="31.2" x14ac:dyDescent="0.3">
      <c r="B4" s="9" t="s">
        <v>2</v>
      </c>
      <c r="C4" s="9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0" t="s">
        <v>14</v>
      </c>
    </row>
    <row r="5" spans="2:11" ht="30" x14ac:dyDescent="0.3">
      <c r="B5" s="11">
        <v>5</v>
      </c>
      <c r="C5" s="11">
        <v>1</v>
      </c>
      <c r="D5" s="12" t="s">
        <v>28</v>
      </c>
      <c r="E5" s="12" t="s">
        <v>19</v>
      </c>
      <c r="F5" s="12" t="s">
        <v>321</v>
      </c>
      <c r="G5" s="12" t="s">
        <v>30</v>
      </c>
      <c r="H5" s="16">
        <v>45418</v>
      </c>
      <c r="I5" s="16">
        <v>45422</v>
      </c>
      <c r="J5" s="14">
        <v>5</v>
      </c>
      <c r="K5" s="15">
        <v>2</v>
      </c>
    </row>
    <row r="6" spans="2:11" ht="45" x14ac:dyDescent="0.3">
      <c r="B6" s="11">
        <v>6</v>
      </c>
      <c r="C6" s="11">
        <v>2</v>
      </c>
      <c r="D6" s="12" t="s">
        <v>31</v>
      </c>
      <c r="E6" s="12" t="s">
        <v>32</v>
      </c>
      <c r="F6" s="12" t="s">
        <v>321</v>
      </c>
      <c r="G6" s="12" t="s">
        <v>33</v>
      </c>
      <c r="H6" s="16">
        <v>45429</v>
      </c>
      <c r="I6" s="16">
        <v>45429</v>
      </c>
      <c r="J6" s="14">
        <v>1</v>
      </c>
      <c r="K6" s="15">
        <v>5</v>
      </c>
    </row>
    <row r="7" spans="2:11" ht="30" x14ac:dyDescent="0.3">
      <c r="B7" s="11">
        <v>8</v>
      </c>
      <c r="C7" s="11">
        <v>3</v>
      </c>
      <c r="D7" s="12" t="s">
        <v>37</v>
      </c>
      <c r="E7" s="12" t="s">
        <v>38</v>
      </c>
      <c r="F7" s="12" t="s">
        <v>321</v>
      </c>
      <c r="G7" s="12" t="s">
        <v>23</v>
      </c>
      <c r="H7" s="16">
        <v>45442</v>
      </c>
      <c r="I7" s="16">
        <v>45443</v>
      </c>
      <c r="J7" s="14">
        <v>2</v>
      </c>
      <c r="K7" s="15">
        <v>2</v>
      </c>
    </row>
    <row r="8" spans="2:11" ht="15" x14ac:dyDescent="0.3">
      <c r="B8" s="11">
        <v>10</v>
      </c>
      <c r="C8" s="11">
        <v>4</v>
      </c>
      <c r="D8" s="12" t="s">
        <v>40</v>
      </c>
      <c r="E8" s="12" t="s">
        <v>41</v>
      </c>
      <c r="F8" s="12" t="s">
        <v>321</v>
      </c>
      <c r="G8" s="12" t="s">
        <v>23</v>
      </c>
      <c r="H8" s="16">
        <v>45463</v>
      </c>
      <c r="I8" s="16">
        <v>45464</v>
      </c>
      <c r="J8" s="14">
        <v>2</v>
      </c>
      <c r="K8" s="15">
        <v>1</v>
      </c>
    </row>
    <row r="9" spans="2:11" ht="30" x14ac:dyDescent="0.3">
      <c r="B9" s="11">
        <v>14</v>
      </c>
      <c r="C9" s="11">
        <v>5</v>
      </c>
      <c r="D9" s="17" t="s">
        <v>45</v>
      </c>
      <c r="E9" s="17" t="s">
        <v>46</v>
      </c>
      <c r="F9" s="14" t="s">
        <v>321</v>
      </c>
      <c r="G9" s="17" t="s">
        <v>23</v>
      </c>
      <c r="H9" s="2">
        <v>45397</v>
      </c>
      <c r="I9" s="2">
        <v>45399</v>
      </c>
      <c r="J9" s="14">
        <v>3</v>
      </c>
      <c r="K9" s="15">
        <v>29</v>
      </c>
    </row>
    <row r="10" spans="2:11" ht="30" x14ac:dyDescent="0.3">
      <c r="B10" s="11">
        <v>15</v>
      </c>
      <c r="C10" s="11">
        <v>6</v>
      </c>
      <c r="D10" s="17" t="s">
        <v>45</v>
      </c>
      <c r="E10" s="17" t="s">
        <v>46</v>
      </c>
      <c r="F10" s="14" t="s">
        <v>321</v>
      </c>
      <c r="G10" s="17" t="s">
        <v>23</v>
      </c>
      <c r="H10" s="2">
        <v>45404</v>
      </c>
      <c r="I10" s="2">
        <v>45406</v>
      </c>
      <c r="J10" s="14">
        <v>3</v>
      </c>
      <c r="K10" s="15">
        <v>29</v>
      </c>
    </row>
    <row r="11" spans="2:11" ht="30" x14ac:dyDescent="0.3">
      <c r="B11" s="11">
        <v>16</v>
      </c>
      <c r="C11" s="11">
        <v>7</v>
      </c>
      <c r="D11" s="17" t="s">
        <v>45</v>
      </c>
      <c r="E11" s="17" t="s">
        <v>46</v>
      </c>
      <c r="F11" s="14" t="s">
        <v>321</v>
      </c>
      <c r="G11" s="17" t="s">
        <v>23</v>
      </c>
      <c r="H11" s="2">
        <v>45411</v>
      </c>
      <c r="I11" s="2">
        <v>45413</v>
      </c>
      <c r="J11" s="14">
        <v>3</v>
      </c>
      <c r="K11" s="15">
        <v>27</v>
      </c>
    </row>
    <row r="12" spans="2:11" ht="30" x14ac:dyDescent="0.3">
      <c r="B12" s="11">
        <v>17</v>
      </c>
      <c r="C12" s="11">
        <v>8</v>
      </c>
      <c r="D12" s="17" t="s">
        <v>45</v>
      </c>
      <c r="E12" s="17" t="s">
        <v>46</v>
      </c>
      <c r="F12" s="14" t="s">
        <v>321</v>
      </c>
      <c r="G12" s="17" t="s">
        <v>23</v>
      </c>
      <c r="H12" s="2">
        <v>45425</v>
      </c>
      <c r="I12" s="2">
        <v>45427</v>
      </c>
      <c r="J12" s="14">
        <v>3</v>
      </c>
      <c r="K12" s="15">
        <v>34</v>
      </c>
    </row>
    <row r="13" spans="2:11" ht="30" x14ac:dyDescent="0.3">
      <c r="B13" s="11">
        <v>18</v>
      </c>
      <c r="C13" s="11">
        <v>9</v>
      </c>
      <c r="D13" s="17" t="s">
        <v>45</v>
      </c>
      <c r="E13" s="17" t="s">
        <v>46</v>
      </c>
      <c r="F13" s="14" t="s">
        <v>321</v>
      </c>
      <c r="G13" s="17" t="s">
        <v>23</v>
      </c>
      <c r="H13" s="2">
        <v>45432</v>
      </c>
      <c r="I13" s="2">
        <v>45434</v>
      </c>
      <c r="J13" s="14">
        <v>3</v>
      </c>
      <c r="K13" s="15">
        <v>31</v>
      </c>
    </row>
    <row r="14" spans="2:11" ht="30" x14ac:dyDescent="0.3">
      <c r="B14" s="11">
        <v>19</v>
      </c>
      <c r="C14" s="11">
        <v>10</v>
      </c>
      <c r="D14" s="17" t="s">
        <v>45</v>
      </c>
      <c r="E14" s="17" t="s">
        <v>47</v>
      </c>
      <c r="F14" s="14" t="s">
        <v>321</v>
      </c>
      <c r="G14" s="17" t="s">
        <v>23</v>
      </c>
      <c r="H14" s="2">
        <v>45439</v>
      </c>
      <c r="I14" s="2">
        <v>45441</v>
      </c>
      <c r="J14" s="14">
        <v>3</v>
      </c>
      <c r="K14" s="15">
        <v>29</v>
      </c>
    </row>
    <row r="15" spans="2:11" ht="15" x14ac:dyDescent="0.3">
      <c r="B15" s="11">
        <v>21</v>
      </c>
      <c r="C15" s="11">
        <v>11</v>
      </c>
      <c r="D15" s="14" t="s">
        <v>52</v>
      </c>
      <c r="E15" s="17" t="s">
        <v>53</v>
      </c>
      <c r="F15" s="14" t="s">
        <v>321</v>
      </c>
      <c r="G15" s="17" t="s">
        <v>54</v>
      </c>
      <c r="H15" s="2">
        <v>45439</v>
      </c>
      <c r="I15" s="2">
        <v>45444</v>
      </c>
      <c r="J15" s="14">
        <v>6</v>
      </c>
      <c r="K15" s="15">
        <v>5</v>
      </c>
    </row>
    <row r="16" spans="2:11" ht="15" x14ac:dyDescent="0.3">
      <c r="B16" s="11">
        <v>22</v>
      </c>
      <c r="C16" s="11">
        <v>12</v>
      </c>
      <c r="D16" s="14" t="s">
        <v>55</v>
      </c>
      <c r="E16" s="14" t="s">
        <v>56</v>
      </c>
      <c r="F16" s="14" t="s">
        <v>321</v>
      </c>
      <c r="G16" s="14" t="s">
        <v>57</v>
      </c>
      <c r="H16" s="13">
        <v>45451</v>
      </c>
      <c r="I16" s="13">
        <v>45455</v>
      </c>
      <c r="J16" s="14">
        <v>5</v>
      </c>
      <c r="K16" s="15">
        <v>4</v>
      </c>
    </row>
    <row r="17" spans="2:11" ht="30" x14ac:dyDescent="0.3">
      <c r="B17" s="11">
        <v>26</v>
      </c>
      <c r="C17" s="11">
        <v>13</v>
      </c>
      <c r="D17" s="12" t="s">
        <v>65</v>
      </c>
      <c r="E17" s="12" t="s">
        <v>63</v>
      </c>
      <c r="F17" s="12" t="s">
        <v>321</v>
      </c>
      <c r="G17" s="12" t="s">
        <v>64</v>
      </c>
      <c r="H17" s="16">
        <v>45468</v>
      </c>
      <c r="I17" s="16">
        <v>45471</v>
      </c>
      <c r="J17" s="14">
        <v>4</v>
      </c>
      <c r="K17" s="15">
        <v>1</v>
      </c>
    </row>
    <row r="18" spans="2:11" ht="45" x14ac:dyDescent="0.3">
      <c r="B18" s="11">
        <v>32</v>
      </c>
      <c r="C18" s="11">
        <v>14</v>
      </c>
      <c r="D18" s="12" t="s">
        <v>78</v>
      </c>
      <c r="E18" s="12" t="s">
        <v>32</v>
      </c>
      <c r="F18" s="12" t="s">
        <v>321</v>
      </c>
      <c r="G18" s="12" t="s">
        <v>79</v>
      </c>
      <c r="H18" s="16">
        <v>45464</v>
      </c>
      <c r="I18" s="16">
        <v>45464</v>
      </c>
      <c r="J18" s="14">
        <v>1</v>
      </c>
      <c r="K18" s="15">
        <v>1</v>
      </c>
    </row>
    <row r="19" spans="2:11" ht="45" x14ac:dyDescent="0.3">
      <c r="B19" s="11">
        <v>41</v>
      </c>
      <c r="C19" s="11">
        <v>15</v>
      </c>
      <c r="D19" s="12" t="s">
        <v>94</v>
      </c>
      <c r="E19" s="12" t="s">
        <v>22</v>
      </c>
      <c r="F19" s="12" t="s">
        <v>321</v>
      </c>
      <c r="G19" s="12" t="s">
        <v>23</v>
      </c>
      <c r="H19" s="16">
        <v>45477</v>
      </c>
      <c r="I19" s="16">
        <v>45478</v>
      </c>
      <c r="J19" s="14">
        <v>2</v>
      </c>
      <c r="K19" s="15">
        <v>2</v>
      </c>
    </row>
    <row r="20" spans="2:11" ht="45" x14ac:dyDescent="0.3">
      <c r="B20" s="11">
        <v>47</v>
      </c>
      <c r="C20" s="11">
        <v>16</v>
      </c>
      <c r="D20" s="12" t="s">
        <v>102</v>
      </c>
      <c r="E20" s="12" t="s">
        <v>32</v>
      </c>
      <c r="F20" s="12" t="s">
        <v>321</v>
      </c>
      <c r="G20" s="12" t="s">
        <v>79</v>
      </c>
      <c r="H20" s="16">
        <v>45478</v>
      </c>
      <c r="I20" s="16">
        <v>45478</v>
      </c>
      <c r="J20" s="14">
        <v>1</v>
      </c>
      <c r="K20" s="15">
        <v>1</v>
      </c>
    </row>
    <row r="21" spans="2:11" ht="75" x14ac:dyDescent="0.3">
      <c r="B21" s="11">
        <v>48</v>
      </c>
      <c r="C21" s="11">
        <v>17</v>
      </c>
      <c r="D21" s="12" t="s">
        <v>103</v>
      </c>
      <c r="E21" s="12" t="s">
        <v>104</v>
      </c>
      <c r="F21" s="12" t="s">
        <v>321</v>
      </c>
      <c r="G21" s="12" t="s">
        <v>105</v>
      </c>
      <c r="H21" s="16">
        <v>45484</v>
      </c>
      <c r="I21" s="16">
        <v>45485</v>
      </c>
      <c r="J21" s="14">
        <v>2</v>
      </c>
      <c r="K21" s="15">
        <v>2</v>
      </c>
    </row>
    <row r="22" spans="2:11" ht="30" x14ac:dyDescent="0.3">
      <c r="B22" s="11">
        <v>49</v>
      </c>
      <c r="C22" s="11">
        <v>18</v>
      </c>
      <c r="D22" s="12" t="s">
        <v>106</v>
      </c>
      <c r="E22" s="12" t="s">
        <v>22</v>
      </c>
      <c r="F22" s="12" t="s">
        <v>321</v>
      </c>
      <c r="G22" s="12" t="s">
        <v>107</v>
      </c>
      <c r="H22" s="16">
        <v>45497</v>
      </c>
      <c r="I22" s="16">
        <v>45499</v>
      </c>
      <c r="J22" s="14">
        <v>3</v>
      </c>
      <c r="K22" s="15">
        <v>2</v>
      </c>
    </row>
    <row r="23" spans="2:11" ht="30" x14ac:dyDescent="0.3">
      <c r="B23" s="11">
        <v>52</v>
      </c>
      <c r="C23" s="11">
        <v>19</v>
      </c>
      <c r="D23" s="12" t="s">
        <v>111</v>
      </c>
      <c r="E23" s="12" t="s">
        <v>112</v>
      </c>
      <c r="F23" s="12" t="s">
        <v>321</v>
      </c>
      <c r="G23" s="12" t="s">
        <v>113</v>
      </c>
      <c r="H23" s="16">
        <v>45526</v>
      </c>
      <c r="I23" s="16">
        <v>45528</v>
      </c>
      <c r="J23" s="14">
        <v>3</v>
      </c>
      <c r="K23" s="15">
        <v>2</v>
      </c>
    </row>
    <row r="24" spans="2:11" ht="30" x14ac:dyDescent="0.3">
      <c r="B24" s="11">
        <v>56</v>
      </c>
      <c r="C24" s="11">
        <v>20</v>
      </c>
      <c r="D24" s="12" t="s">
        <v>121</v>
      </c>
      <c r="E24" s="12" t="s">
        <v>19</v>
      </c>
      <c r="F24" s="12" t="s">
        <v>321</v>
      </c>
      <c r="G24" s="12" t="s">
        <v>61</v>
      </c>
      <c r="H24" s="16">
        <v>45488</v>
      </c>
      <c r="I24" s="16">
        <v>45493</v>
      </c>
      <c r="J24" s="14">
        <v>6</v>
      </c>
      <c r="K24" s="15">
        <v>2</v>
      </c>
    </row>
    <row r="25" spans="2:11" ht="30" x14ac:dyDescent="0.3">
      <c r="B25" s="11">
        <v>60</v>
      </c>
      <c r="C25" s="11">
        <v>21</v>
      </c>
      <c r="D25" s="12" t="s">
        <v>126</v>
      </c>
      <c r="E25" s="12" t="s">
        <v>127</v>
      </c>
      <c r="F25" s="12" t="s">
        <v>321</v>
      </c>
      <c r="G25" s="12" t="s">
        <v>128</v>
      </c>
      <c r="H25" s="16">
        <v>45502</v>
      </c>
      <c r="I25" s="16">
        <v>45503</v>
      </c>
      <c r="J25" s="14">
        <v>2</v>
      </c>
      <c r="K25" s="15">
        <v>5</v>
      </c>
    </row>
    <row r="26" spans="2:11" ht="30" x14ac:dyDescent="0.3">
      <c r="B26" s="11">
        <v>62</v>
      </c>
      <c r="C26" s="11">
        <v>22</v>
      </c>
      <c r="D26" s="17" t="s">
        <v>129</v>
      </c>
      <c r="E26" s="17" t="s">
        <v>47</v>
      </c>
      <c r="F26" s="14" t="s">
        <v>321</v>
      </c>
      <c r="G26" s="14" t="s">
        <v>23</v>
      </c>
      <c r="H26" s="19">
        <v>45497</v>
      </c>
      <c r="I26" s="19">
        <v>45499</v>
      </c>
      <c r="J26" s="14">
        <v>3</v>
      </c>
      <c r="K26" s="15">
        <v>31</v>
      </c>
    </row>
    <row r="27" spans="2:11" ht="30" x14ac:dyDescent="0.3">
      <c r="B27" s="11">
        <v>63</v>
      </c>
      <c r="C27" s="11">
        <v>23</v>
      </c>
      <c r="D27" s="14" t="s">
        <v>130</v>
      </c>
      <c r="E27" s="14" t="s">
        <v>46</v>
      </c>
      <c r="F27" s="14" t="s">
        <v>321</v>
      </c>
      <c r="G27" s="14" t="s">
        <v>23</v>
      </c>
      <c r="H27" s="19">
        <v>45502</v>
      </c>
      <c r="I27" s="19">
        <v>45504</v>
      </c>
      <c r="J27" s="14">
        <v>3</v>
      </c>
      <c r="K27" s="15">
        <v>34</v>
      </c>
    </row>
    <row r="28" spans="2:11" ht="30" x14ac:dyDescent="0.3">
      <c r="B28" s="11">
        <v>64</v>
      </c>
      <c r="C28" s="11">
        <v>24</v>
      </c>
      <c r="D28" s="14" t="s">
        <v>130</v>
      </c>
      <c r="E28" s="14" t="s">
        <v>46</v>
      </c>
      <c r="F28" s="14" t="s">
        <v>321</v>
      </c>
      <c r="G28" s="14" t="s">
        <v>23</v>
      </c>
      <c r="H28" s="19">
        <v>45509</v>
      </c>
      <c r="I28" s="19">
        <v>45511</v>
      </c>
      <c r="J28" s="14">
        <v>3</v>
      </c>
      <c r="K28" s="15">
        <v>34</v>
      </c>
    </row>
    <row r="29" spans="2:11" ht="15.6" x14ac:dyDescent="0.3">
      <c r="B29" s="11">
        <v>69</v>
      </c>
      <c r="C29" s="11">
        <v>25</v>
      </c>
      <c r="D29" s="22" t="s">
        <v>137</v>
      </c>
      <c r="E29" s="14" t="s">
        <v>138</v>
      </c>
      <c r="F29" s="14" t="s">
        <v>321</v>
      </c>
      <c r="G29" s="12" t="s">
        <v>139</v>
      </c>
      <c r="H29" s="16">
        <v>45481</v>
      </c>
      <c r="I29" s="16">
        <v>45485</v>
      </c>
      <c r="J29" s="14">
        <v>5</v>
      </c>
      <c r="K29" s="15">
        <v>4</v>
      </c>
    </row>
    <row r="30" spans="2:11" ht="45" x14ac:dyDescent="0.3">
      <c r="B30" s="11">
        <v>72</v>
      </c>
      <c r="C30" s="11">
        <v>26</v>
      </c>
      <c r="D30" s="12" t="s">
        <v>144</v>
      </c>
      <c r="E30" s="12" t="s">
        <v>70</v>
      </c>
      <c r="F30" s="12" t="s">
        <v>321</v>
      </c>
      <c r="G30" s="12" t="s">
        <v>23</v>
      </c>
      <c r="H30" s="16">
        <v>45533</v>
      </c>
      <c r="I30" s="16">
        <v>45534</v>
      </c>
      <c r="J30" s="14">
        <v>2</v>
      </c>
      <c r="K30" s="15">
        <v>4</v>
      </c>
    </row>
    <row r="31" spans="2:11" ht="30" x14ac:dyDescent="0.3">
      <c r="B31" s="11">
        <v>76</v>
      </c>
      <c r="C31" s="11">
        <v>27</v>
      </c>
      <c r="D31" s="12" t="s">
        <v>150</v>
      </c>
      <c r="E31" s="12" t="s">
        <v>63</v>
      </c>
      <c r="F31" s="12" t="s">
        <v>321</v>
      </c>
      <c r="G31" s="12" t="s">
        <v>64</v>
      </c>
      <c r="H31" s="16">
        <v>45510</v>
      </c>
      <c r="I31" s="16">
        <v>45513</v>
      </c>
      <c r="J31" s="14">
        <v>4</v>
      </c>
      <c r="K31" s="15">
        <v>5</v>
      </c>
    </row>
    <row r="32" spans="2:11" ht="15" x14ac:dyDescent="0.3">
      <c r="B32" s="11">
        <v>101</v>
      </c>
      <c r="C32" s="11">
        <v>28</v>
      </c>
      <c r="D32" s="12" t="s">
        <v>181</v>
      </c>
      <c r="E32" s="12" t="s">
        <v>182</v>
      </c>
      <c r="F32" s="12" t="s">
        <v>321</v>
      </c>
      <c r="G32" s="12" t="s">
        <v>79</v>
      </c>
      <c r="H32" s="16">
        <v>45559</v>
      </c>
      <c r="I32" s="16">
        <v>45560</v>
      </c>
      <c r="J32" s="14">
        <v>2</v>
      </c>
      <c r="K32" s="15">
        <v>2</v>
      </c>
    </row>
    <row r="33" spans="2:11" ht="15.6" x14ac:dyDescent="0.3">
      <c r="B33" s="11">
        <v>107</v>
      </c>
      <c r="C33" s="11">
        <v>29</v>
      </c>
      <c r="D33" s="22" t="s">
        <v>137</v>
      </c>
      <c r="E33" s="14" t="s">
        <v>138</v>
      </c>
      <c r="F33" s="14" t="s">
        <v>321</v>
      </c>
      <c r="G33" s="12" t="s">
        <v>139</v>
      </c>
      <c r="H33" s="16">
        <v>45558</v>
      </c>
      <c r="I33" s="16">
        <v>45562</v>
      </c>
      <c r="J33" s="14">
        <v>5</v>
      </c>
      <c r="K33" s="15">
        <v>5</v>
      </c>
    </row>
    <row r="34" spans="2:11" ht="30" x14ac:dyDescent="0.3">
      <c r="B34" s="11">
        <v>116</v>
      </c>
      <c r="C34" s="11">
        <v>30</v>
      </c>
      <c r="D34" s="12" t="s">
        <v>196</v>
      </c>
      <c r="E34" s="12" t="s">
        <v>19</v>
      </c>
      <c r="F34" s="12" t="s">
        <v>321</v>
      </c>
      <c r="G34" s="12" t="s">
        <v>61</v>
      </c>
      <c r="H34" s="16">
        <v>45628</v>
      </c>
      <c r="I34" s="16">
        <v>45633</v>
      </c>
      <c r="J34" s="14">
        <v>6</v>
      </c>
      <c r="K34" s="15">
        <v>8</v>
      </c>
    </row>
    <row r="35" spans="2:11" ht="15.6" x14ac:dyDescent="0.3">
      <c r="B35" s="11">
        <v>128</v>
      </c>
      <c r="C35" s="11">
        <v>31</v>
      </c>
      <c r="D35" s="22" t="s">
        <v>203</v>
      </c>
      <c r="E35" s="12" t="s">
        <v>63</v>
      </c>
      <c r="F35" s="14" t="s">
        <v>321</v>
      </c>
      <c r="G35" s="14" t="s">
        <v>107</v>
      </c>
      <c r="H35" s="13">
        <v>45583</v>
      </c>
      <c r="I35" s="13">
        <v>45583</v>
      </c>
      <c r="J35" s="14">
        <v>1</v>
      </c>
      <c r="K35" s="15">
        <v>2</v>
      </c>
    </row>
    <row r="36" spans="2:11" ht="15" x14ac:dyDescent="0.3">
      <c r="B36" s="11">
        <v>130</v>
      </c>
      <c r="C36" s="11">
        <v>32</v>
      </c>
      <c r="D36" s="17" t="s">
        <v>205</v>
      </c>
      <c r="E36" s="17" t="s">
        <v>147</v>
      </c>
      <c r="F36" s="14" t="s">
        <v>321</v>
      </c>
      <c r="G36" s="14" t="s">
        <v>118</v>
      </c>
      <c r="H36" s="13">
        <v>45589</v>
      </c>
      <c r="I36" s="13">
        <v>45590</v>
      </c>
      <c r="J36" s="14">
        <v>2</v>
      </c>
      <c r="K36" s="15">
        <v>2</v>
      </c>
    </row>
    <row r="37" spans="2:11" ht="45" x14ac:dyDescent="0.3">
      <c r="B37" s="11">
        <v>131</v>
      </c>
      <c r="C37" s="11">
        <v>33</v>
      </c>
      <c r="D37" s="12" t="s">
        <v>206</v>
      </c>
      <c r="E37" s="12" t="s">
        <v>182</v>
      </c>
      <c r="F37" s="12" t="s">
        <v>321</v>
      </c>
      <c r="G37" s="12" t="s">
        <v>23</v>
      </c>
      <c r="H37" s="16">
        <v>45617</v>
      </c>
      <c r="I37" s="16">
        <v>45618</v>
      </c>
      <c r="J37" s="14">
        <v>2</v>
      </c>
      <c r="K37" s="15">
        <v>2</v>
      </c>
    </row>
    <row r="38" spans="2:11" ht="15" x14ac:dyDescent="0.3">
      <c r="B38" s="11">
        <v>134</v>
      </c>
      <c r="C38" s="11">
        <v>34</v>
      </c>
      <c r="D38" s="12" t="s">
        <v>212</v>
      </c>
      <c r="E38" s="12" t="s">
        <v>110</v>
      </c>
      <c r="F38" s="12" t="s">
        <v>321</v>
      </c>
      <c r="G38" s="12" t="s">
        <v>24</v>
      </c>
      <c r="H38" s="16">
        <v>45604</v>
      </c>
      <c r="I38" s="16">
        <v>45604</v>
      </c>
      <c r="J38" s="14">
        <v>1</v>
      </c>
      <c r="K38" s="15">
        <v>2</v>
      </c>
    </row>
    <row r="39" spans="2:11" ht="15" x14ac:dyDescent="0.3">
      <c r="B39" s="11">
        <v>150</v>
      </c>
      <c r="C39" s="11">
        <v>35</v>
      </c>
      <c r="D39" s="12" t="s">
        <v>227</v>
      </c>
      <c r="E39" s="12" t="s">
        <v>110</v>
      </c>
      <c r="F39" s="12" t="s">
        <v>321</v>
      </c>
      <c r="G39" s="12" t="s">
        <v>24</v>
      </c>
      <c r="H39" s="16">
        <v>45625</v>
      </c>
      <c r="I39" s="16">
        <v>45625</v>
      </c>
      <c r="J39" s="14">
        <v>1</v>
      </c>
      <c r="K39" s="15">
        <v>1</v>
      </c>
    </row>
    <row r="40" spans="2:11" ht="30" x14ac:dyDescent="0.3">
      <c r="B40" s="11">
        <v>159</v>
      </c>
      <c r="C40" s="11">
        <v>36</v>
      </c>
      <c r="D40" s="12" t="s">
        <v>238</v>
      </c>
      <c r="E40" s="14" t="s">
        <v>22</v>
      </c>
      <c r="F40" s="12" t="s">
        <v>321</v>
      </c>
      <c r="G40" s="12" t="s">
        <v>23</v>
      </c>
      <c r="H40" s="16">
        <v>45659</v>
      </c>
      <c r="I40" s="16">
        <v>45660</v>
      </c>
      <c r="J40" s="14">
        <v>2</v>
      </c>
      <c r="K40" s="15">
        <v>2</v>
      </c>
    </row>
    <row r="41" spans="2:11" ht="15" x14ac:dyDescent="0.3">
      <c r="B41" s="11">
        <v>161</v>
      </c>
      <c r="C41" s="11">
        <v>37</v>
      </c>
      <c r="D41" s="12" t="s">
        <v>240</v>
      </c>
      <c r="E41" s="12" t="s">
        <v>241</v>
      </c>
      <c r="F41" s="12" t="s">
        <v>321</v>
      </c>
      <c r="G41" s="12" t="s">
        <v>79</v>
      </c>
      <c r="H41" s="16">
        <v>45664</v>
      </c>
      <c r="I41" s="16">
        <v>45665</v>
      </c>
      <c r="J41" s="14">
        <v>2</v>
      </c>
      <c r="K41" s="15">
        <v>6</v>
      </c>
    </row>
    <row r="42" spans="2:11" ht="30" x14ac:dyDescent="0.3">
      <c r="B42" s="11">
        <v>166</v>
      </c>
      <c r="C42" s="11">
        <v>38</v>
      </c>
      <c r="D42" s="12" t="s">
        <v>246</v>
      </c>
      <c r="E42" s="14" t="s">
        <v>22</v>
      </c>
      <c r="F42" s="12" t="s">
        <v>321</v>
      </c>
      <c r="G42" s="12" t="s">
        <v>23</v>
      </c>
      <c r="H42" s="16">
        <v>45687</v>
      </c>
      <c r="I42" s="16">
        <v>45688</v>
      </c>
      <c r="J42" s="14">
        <v>2</v>
      </c>
      <c r="K42" s="15">
        <v>2</v>
      </c>
    </row>
    <row r="43" spans="2:11" ht="45.6" x14ac:dyDescent="0.3">
      <c r="B43" s="11">
        <v>175</v>
      </c>
      <c r="C43" s="11">
        <v>39</v>
      </c>
      <c r="D43" s="25" t="s">
        <v>258</v>
      </c>
      <c r="E43" s="21" t="s">
        <v>259</v>
      </c>
      <c r="F43" s="21" t="s">
        <v>321</v>
      </c>
      <c r="G43" s="21" t="s">
        <v>23</v>
      </c>
      <c r="H43" s="20">
        <v>45681</v>
      </c>
      <c r="I43" s="20">
        <v>45681</v>
      </c>
      <c r="J43" s="14">
        <v>1</v>
      </c>
      <c r="K43" s="15">
        <v>2</v>
      </c>
    </row>
    <row r="44" spans="2:11" ht="30" x14ac:dyDescent="0.3">
      <c r="B44" s="11">
        <v>181</v>
      </c>
      <c r="C44" s="11">
        <v>40</v>
      </c>
      <c r="D44" s="21" t="s">
        <v>267</v>
      </c>
      <c r="E44" s="21" t="s">
        <v>268</v>
      </c>
      <c r="F44" s="21" t="s">
        <v>321</v>
      </c>
      <c r="G44" s="21" t="s">
        <v>128</v>
      </c>
      <c r="H44" s="20">
        <v>45680</v>
      </c>
      <c r="I44" s="20">
        <v>45680</v>
      </c>
      <c r="J44" s="14">
        <v>1</v>
      </c>
      <c r="K44" s="15">
        <v>1</v>
      </c>
    </row>
    <row r="45" spans="2:11" ht="15" x14ac:dyDescent="0.3">
      <c r="B45" s="11">
        <v>182</v>
      </c>
      <c r="C45" s="11">
        <v>41</v>
      </c>
      <c r="D45" s="14" t="s">
        <v>269</v>
      </c>
      <c r="E45" s="14" t="s">
        <v>270</v>
      </c>
      <c r="F45" s="14" t="s">
        <v>321</v>
      </c>
      <c r="G45" s="14" t="s">
        <v>50</v>
      </c>
      <c r="H45" s="13">
        <v>45684</v>
      </c>
      <c r="I45" s="13">
        <v>45689</v>
      </c>
      <c r="J45" s="14">
        <v>6</v>
      </c>
      <c r="K45" s="15">
        <v>2</v>
      </c>
    </row>
    <row r="46" spans="2:11" ht="15" x14ac:dyDescent="0.3">
      <c r="B46" s="11">
        <v>184</v>
      </c>
      <c r="C46" s="11">
        <v>42</v>
      </c>
      <c r="D46" s="14" t="s">
        <v>271</v>
      </c>
      <c r="E46" s="14" t="s">
        <v>272</v>
      </c>
      <c r="F46" s="14" t="s">
        <v>321</v>
      </c>
      <c r="G46" s="14" t="s">
        <v>24</v>
      </c>
      <c r="H46" s="13">
        <v>45680</v>
      </c>
      <c r="I46" s="13">
        <v>45680</v>
      </c>
      <c r="J46" s="14">
        <v>1</v>
      </c>
      <c r="K46" s="15">
        <v>4</v>
      </c>
    </row>
    <row r="47" spans="2:11" ht="15" x14ac:dyDescent="0.3">
      <c r="B47" s="11">
        <v>185</v>
      </c>
      <c r="C47" s="11">
        <v>43</v>
      </c>
      <c r="D47" s="14" t="s">
        <v>273</v>
      </c>
      <c r="E47" s="14" t="s">
        <v>272</v>
      </c>
      <c r="F47" s="14" t="s">
        <v>321</v>
      </c>
      <c r="G47" s="14" t="s">
        <v>24</v>
      </c>
      <c r="H47" s="13">
        <v>45680</v>
      </c>
      <c r="I47" s="13">
        <v>45680</v>
      </c>
      <c r="J47" s="14">
        <v>1</v>
      </c>
      <c r="K47" s="15">
        <v>2</v>
      </c>
    </row>
    <row r="48" spans="2:11" ht="30" x14ac:dyDescent="0.3">
      <c r="B48" s="11">
        <v>192</v>
      </c>
      <c r="C48" s="11">
        <v>44</v>
      </c>
      <c r="D48" s="14" t="s">
        <v>137</v>
      </c>
      <c r="E48" s="14" t="s">
        <v>138</v>
      </c>
      <c r="F48" s="14" t="s">
        <v>321</v>
      </c>
      <c r="G48" s="14" t="s">
        <v>139</v>
      </c>
      <c r="H48" s="13">
        <v>45717</v>
      </c>
      <c r="I48" s="13">
        <v>45721</v>
      </c>
      <c r="J48" s="14">
        <v>5</v>
      </c>
      <c r="K48" s="15">
        <v>4</v>
      </c>
    </row>
    <row r="49" spans="2:11" ht="30" x14ac:dyDescent="0.3">
      <c r="B49" s="11">
        <v>193</v>
      </c>
      <c r="C49" s="11">
        <v>45</v>
      </c>
      <c r="D49" s="21" t="s">
        <v>279</v>
      </c>
      <c r="E49" s="21" t="s">
        <v>182</v>
      </c>
      <c r="F49" s="21" t="s">
        <v>321</v>
      </c>
      <c r="G49" s="21" t="s">
        <v>36</v>
      </c>
      <c r="H49" s="20">
        <v>45710</v>
      </c>
      <c r="I49" s="20">
        <v>45714</v>
      </c>
      <c r="J49" s="14">
        <v>5</v>
      </c>
      <c r="K49" s="15">
        <v>3</v>
      </c>
    </row>
    <row r="50" spans="2:11" ht="30" x14ac:dyDescent="0.3">
      <c r="B50" s="11">
        <v>197</v>
      </c>
      <c r="C50" s="11">
        <v>46</v>
      </c>
      <c r="D50" s="21" t="s">
        <v>282</v>
      </c>
      <c r="E50" s="12" t="s">
        <v>63</v>
      </c>
      <c r="F50" s="21" t="s">
        <v>321</v>
      </c>
      <c r="G50" s="21" t="s">
        <v>64</v>
      </c>
      <c r="H50" s="20">
        <v>45692</v>
      </c>
      <c r="I50" s="20">
        <v>45695</v>
      </c>
      <c r="J50" s="14">
        <v>4</v>
      </c>
      <c r="K50" s="15">
        <v>2</v>
      </c>
    </row>
    <row r="51" spans="2:11" ht="30" x14ac:dyDescent="0.3">
      <c r="B51" s="11">
        <v>202</v>
      </c>
      <c r="C51" s="11">
        <v>47</v>
      </c>
      <c r="D51" s="21" t="s">
        <v>292</v>
      </c>
      <c r="E51" s="21" t="s">
        <v>155</v>
      </c>
      <c r="F51" s="21" t="s">
        <v>321</v>
      </c>
      <c r="G51" s="21" t="s">
        <v>79</v>
      </c>
      <c r="H51" s="20">
        <v>45702</v>
      </c>
      <c r="I51" s="20">
        <v>45703</v>
      </c>
      <c r="J51" s="14">
        <v>2</v>
      </c>
      <c r="K51" s="15">
        <v>2</v>
      </c>
    </row>
    <row r="52" spans="2:11" ht="30" x14ac:dyDescent="0.3">
      <c r="B52" s="11">
        <v>203</v>
      </c>
      <c r="C52" s="11">
        <v>48</v>
      </c>
      <c r="D52" s="21" t="s">
        <v>293</v>
      </c>
      <c r="E52" s="21" t="s">
        <v>214</v>
      </c>
      <c r="F52" s="21" t="s">
        <v>321</v>
      </c>
      <c r="G52" s="21" t="s">
        <v>23</v>
      </c>
      <c r="H52" s="20">
        <v>45705</v>
      </c>
      <c r="I52" s="20">
        <v>45705</v>
      </c>
      <c r="J52" s="14">
        <v>1</v>
      </c>
      <c r="K52" s="15">
        <v>3</v>
      </c>
    </row>
    <row r="53" spans="2:11" ht="15" x14ac:dyDescent="0.3">
      <c r="B53" s="11">
        <v>205</v>
      </c>
      <c r="C53" s="11">
        <v>49</v>
      </c>
      <c r="D53" s="21" t="s">
        <v>297</v>
      </c>
      <c r="E53" s="21" t="s">
        <v>298</v>
      </c>
      <c r="F53" s="21" t="s">
        <v>321</v>
      </c>
      <c r="G53" s="21" t="s">
        <v>24</v>
      </c>
      <c r="H53" s="20">
        <v>45713</v>
      </c>
      <c r="I53" s="20">
        <v>45713</v>
      </c>
      <c r="J53" s="14">
        <v>1</v>
      </c>
      <c r="K53" s="15">
        <v>9</v>
      </c>
    </row>
    <row r="54" spans="2:11" ht="15" x14ac:dyDescent="0.3">
      <c r="B54" s="11">
        <v>206</v>
      </c>
      <c r="C54" s="11">
        <v>50</v>
      </c>
      <c r="D54" s="21" t="s">
        <v>299</v>
      </c>
      <c r="E54" s="21" t="s">
        <v>182</v>
      </c>
      <c r="F54" s="21" t="s">
        <v>321</v>
      </c>
      <c r="G54" s="21" t="s">
        <v>23</v>
      </c>
      <c r="H54" s="20">
        <v>45712</v>
      </c>
      <c r="I54" s="20">
        <v>45713</v>
      </c>
      <c r="J54" s="14">
        <v>2</v>
      </c>
      <c r="K54" s="15">
        <v>2</v>
      </c>
    </row>
    <row r="55" spans="2:11" ht="30" x14ac:dyDescent="0.3">
      <c r="B55" s="11">
        <v>209</v>
      </c>
      <c r="C55" s="11">
        <v>51</v>
      </c>
      <c r="D55" s="21" t="s">
        <v>302</v>
      </c>
      <c r="E55" s="12" t="s">
        <v>63</v>
      </c>
      <c r="F55" s="21" t="s">
        <v>321</v>
      </c>
      <c r="G55" s="21" t="s">
        <v>64</v>
      </c>
      <c r="H55" s="20">
        <v>45720</v>
      </c>
      <c r="I55" s="20">
        <v>45723</v>
      </c>
      <c r="J55" s="14">
        <v>4</v>
      </c>
      <c r="K55" s="15">
        <v>2</v>
      </c>
    </row>
    <row r="56" spans="2:11" ht="15.6" x14ac:dyDescent="0.3">
      <c r="B56" s="11">
        <v>211</v>
      </c>
      <c r="C56" s="11">
        <v>52</v>
      </c>
      <c r="D56" s="25" t="s">
        <v>303</v>
      </c>
      <c r="E56" s="25" t="s">
        <v>259</v>
      </c>
      <c r="F56" s="25" t="s">
        <v>321</v>
      </c>
      <c r="G56" s="25" t="s">
        <v>23</v>
      </c>
      <c r="H56" s="20">
        <v>45720</v>
      </c>
      <c r="I56" s="20">
        <v>45720</v>
      </c>
      <c r="J56" s="14">
        <v>1</v>
      </c>
      <c r="K56" s="15">
        <v>5</v>
      </c>
    </row>
    <row r="57" spans="2:11" ht="30" x14ac:dyDescent="0.3">
      <c r="B57" s="11">
        <v>212</v>
      </c>
      <c r="C57" s="11">
        <v>53</v>
      </c>
      <c r="D57" s="21" t="s">
        <v>304</v>
      </c>
      <c r="E57" s="21" t="s">
        <v>208</v>
      </c>
      <c r="F57" s="21" t="s">
        <v>321</v>
      </c>
      <c r="G57" s="21" t="s">
        <v>23</v>
      </c>
      <c r="H57" s="20">
        <v>45734</v>
      </c>
      <c r="I57" s="20">
        <v>45738</v>
      </c>
      <c r="J57" s="14">
        <v>5</v>
      </c>
      <c r="K57" s="15">
        <v>2</v>
      </c>
    </row>
    <row r="58" spans="2:11" ht="30" x14ac:dyDescent="0.3">
      <c r="B58" s="11">
        <v>217</v>
      </c>
      <c r="C58" s="11">
        <v>54</v>
      </c>
      <c r="D58" s="21" t="s">
        <v>309</v>
      </c>
      <c r="E58" s="21" t="s">
        <v>214</v>
      </c>
      <c r="F58" s="21" t="s">
        <v>321</v>
      </c>
      <c r="G58" s="21" t="s">
        <v>23</v>
      </c>
      <c r="H58" s="20">
        <v>45727</v>
      </c>
      <c r="I58" s="20">
        <v>45727</v>
      </c>
      <c r="J58" s="14">
        <v>1</v>
      </c>
      <c r="K58" s="15">
        <v>1</v>
      </c>
    </row>
    <row r="59" spans="2:11" ht="15" x14ac:dyDescent="0.3">
      <c r="B59" s="11">
        <v>220</v>
      </c>
      <c r="C59" s="11">
        <v>55</v>
      </c>
      <c r="D59" s="21" t="s">
        <v>313</v>
      </c>
      <c r="E59" s="21" t="s">
        <v>314</v>
      </c>
      <c r="F59" s="21" t="s">
        <v>321</v>
      </c>
      <c r="G59" s="21" t="s">
        <v>296</v>
      </c>
      <c r="H59" s="20">
        <v>45733</v>
      </c>
      <c r="I59" s="20">
        <v>45735</v>
      </c>
      <c r="J59" s="14">
        <v>3</v>
      </c>
      <c r="K59" s="15">
        <v>2</v>
      </c>
    </row>
    <row r="60" spans="2:11" ht="30" x14ac:dyDescent="0.3">
      <c r="B60" s="11">
        <v>223</v>
      </c>
      <c r="C60" s="11">
        <v>56</v>
      </c>
      <c r="D60" s="14" t="s">
        <v>318</v>
      </c>
      <c r="E60" s="14" t="s">
        <v>319</v>
      </c>
      <c r="F60" s="14" t="s">
        <v>321</v>
      </c>
      <c r="G60" s="14" t="s">
        <v>320</v>
      </c>
      <c r="H60" s="13">
        <v>45734</v>
      </c>
      <c r="I60" s="13">
        <v>45738</v>
      </c>
      <c r="J60" s="14">
        <v>5</v>
      </c>
      <c r="K60" s="15">
        <v>2</v>
      </c>
    </row>
    <row r="61" spans="2:11" ht="30" x14ac:dyDescent="0.3">
      <c r="B61" s="11">
        <v>224</v>
      </c>
      <c r="C61" s="11">
        <v>57</v>
      </c>
      <c r="D61" s="14" t="s">
        <v>318</v>
      </c>
      <c r="E61" s="14" t="s">
        <v>319</v>
      </c>
      <c r="F61" s="14" t="s">
        <v>321</v>
      </c>
      <c r="G61" s="14" t="s">
        <v>320</v>
      </c>
      <c r="H61" s="13">
        <v>45741</v>
      </c>
      <c r="I61" s="13">
        <v>45745</v>
      </c>
      <c r="J61" s="14">
        <v>5</v>
      </c>
      <c r="K61" s="15">
        <v>3</v>
      </c>
    </row>
    <row r="62" spans="2:11" ht="30" x14ac:dyDescent="0.3">
      <c r="B62" s="11">
        <v>225</v>
      </c>
      <c r="C62" s="11">
        <v>58</v>
      </c>
      <c r="D62" s="14" t="s">
        <v>318</v>
      </c>
      <c r="E62" s="14" t="s">
        <v>319</v>
      </c>
      <c r="F62" s="14" t="s">
        <v>321</v>
      </c>
      <c r="G62" s="14" t="s">
        <v>320</v>
      </c>
      <c r="H62" s="13">
        <v>45741</v>
      </c>
      <c r="I62" s="13">
        <v>45745</v>
      </c>
      <c r="J62" s="14">
        <v>5</v>
      </c>
      <c r="K62" s="15">
        <v>3</v>
      </c>
    </row>
  </sheetData>
  <mergeCells count="1">
    <mergeCell ref="C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6"/>
  <sheetViews>
    <sheetView workbookViewId="0">
      <selection activeCell="C2" sqref="C2:K2"/>
    </sheetView>
  </sheetViews>
  <sheetFormatPr defaultRowHeight="14.4" x14ac:dyDescent="0.3"/>
  <cols>
    <col min="2" max="2" width="0" hidden="1" customWidth="1"/>
    <col min="4" max="4" width="50.5546875" customWidth="1"/>
    <col min="5" max="5" width="26.33203125" customWidth="1"/>
    <col min="6" max="6" width="22" customWidth="1"/>
    <col min="7" max="7" width="22.109375" customWidth="1"/>
    <col min="8" max="8" width="18.88671875" customWidth="1"/>
    <col min="9" max="9" width="19.6640625" customWidth="1"/>
    <col min="10" max="10" width="11.44140625" customWidth="1"/>
  </cols>
  <sheetData>
    <row r="2" spans="2:11" ht="33.75" customHeight="1" x14ac:dyDescent="0.3">
      <c r="C2" s="30" t="str">
        <f>"External Training Detail For Year 2024-25 ("&amp;K4&amp;")"</f>
        <v>External Training Detail For Year 2024-25 (UGVCL)</v>
      </c>
      <c r="D2" s="30"/>
      <c r="E2" s="30"/>
      <c r="F2" s="30"/>
      <c r="G2" s="30"/>
      <c r="H2" s="30"/>
      <c r="I2" s="30"/>
      <c r="J2" s="30"/>
      <c r="K2" s="30"/>
    </row>
    <row r="4" spans="2:11" ht="31.2" x14ac:dyDescent="0.3">
      <c r="B4" s="9" t="s">
        <v>2</v>
      </c>
      <c r="C4" s="9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0" t="s">
        <v>15</v>
      </c>
    </row>
    <row r="5" spans="2:11" ht="30" x14ac:dyDescent="0.3">
      <c r="B5" s="11">
        <v>10</v>
      </c>
      <c r="C5" s="11">
        <v>1</v>
      </c>
      <c r="D5" s="12" t="s">
        <v>40</v>
      </c>
      <c r="E5" s="12" t="s">
        <v>41</v>
      </c>
      <c r="F5" s="12" t="s">
        <v>321</v>
      </c>
      <c r="G5" s="12" t="s">
        <v>23</v>
      </c>
      <c r="H5" s="16">
        <v>45463</v>
      </c>
      <c r="I5" s="16">
        <v>45464</v>
      </c>
      <c r="J5" s="14">
        <v>2</v>
      </c>
      <c r="K5" s="15">
        <v>1</v>
      </c>
    </row>
    <row r="6" spans="2:11" ht="30" x14ac:dyDescent="0.3">
      <c r="B6" s="11">
        <v>12</v>
      </c>
      <c r="C6" s="11">
        <v>2</v>
      </c>
      <c r="D6" s="12" t="s">
        <v>43</v>
      </c>
      <c r="E6" s="12" t="s">
        <v>19</v>
      </c>
      <c r="F6" s="12" t="s">
        <v>321</v>
      </c>
      <c r="G6" s="12" t="s">
        <v>44</v>
      </c>
      <c r="H6" s="16">
        <v>45467</v>
      </c>
      <c r="I6" s="16">
        <v>45472</v>
      </c>
      <c r="J6" s="14">
        <v>6</v>
      </c>
      <c r="K6" s="15">
        <v>1</v>
      </c>
    </row>
    <row r="7" spans="2:11" ht="15" x14ac:dyDescent="0.3">
      <c r="B7" s="11">
        <v>21</v>
      </c>
      <c r="C7" s="11">
        <v>3</v>
      </c>
      <c r="D7" s="14" t="s">
        <v>52</v>
      </c>
      <c r="E7" s="17" t="s">
        <v>53</v>
      </c>
      <c r="F7" s="14" t="s">
        <v>321</v>
      </c>
      <c r="G7" s="17" t="s">
        <v>54</v>
      </c>
      <c r="H7" s="2">
        <v>45439</v>
      </c>
      <c r="I7" s="2">
        <v>45444</v>
      </c>
      <c r="J7" s="14">
        <v>6</v>
      </c>
      <c r="K7" s="15">
        <v>4</v>
      </c>
    </row>
    <row r="8" spans="2:11" ht="15" x14ac:dyDescent="0.3">
      <c r="B8" s="11">
        <v>22</v>
      </c>
      <c r="C8" s="11">
        <v>4</v>
      </c>
      <c r="D8" s="14" t="s">
        <v>55</v>
      </c>
      <c r="E8" s="14" t="s">
        <v>56</v>
      </c>
      <c r="F8" s="14" t="s">
        <v>321</v>
      </c>
      <c r="G8" s="14" t="s">
        <v>57</v>
      </c>
      <c r="H8" s="13">
        <v>45451</v>
      </c>
      <c r="I8" s="13">
        <v>45455</v>
      </c>
      <c r="J8" s="14">
        <v>5</v>
      </c>
      <c r="K8" s="15">
        <v>5</v>
      </c>
    </row>
    <row r="9" spans="2:11" ht="30" x14ac:dyDescent="0.3">
      <c r="B9" s="11">
        <v>26</v>
      </c>
      <c r="C9" s="11">
        <v>5</v>
      </c>
      <c r="D9" s="12" t="s">
        <v>65</v>
      </c>
      <c r="E9" s="12" t="s">
        <v>63</v>
      </c>
      <c r="F9" s="12" t="s">
        <v>321</v>
      </c>
      <c r="G9" s="12" t="s">
        <v>64</v>
      </c>
      <c r="H9" s="16">
        <v>45468</v>
      </c>
      <c r="I9" s="16">
        <v>45471</v>
      </c>
      <c r="J9" s="14">
        <v>4</v>
      </c>
      <c r="K9" s="15">
        <v>4</v>
      </c>
    </row>
    <row r="10" spans="2:11" ht="45" x14ac:dyDescent="0.3">
      <c r="B10" s="11">
        <v>60</v>
      </c>
      <c r="C10" s="11">
        <v>6</v>
      </c>
      <c r="D10" s="12" t="s">
        <v>126</v>
      </c>
      <c r="E10" s="12" t="s">
        <v>127</v>
      </c>
      <c r="F10" s="12" t="s">
        <v>321</v>
      </c>
      <c r="G10" s="12" t="s">
        <v>128</v>
      </c>
      <c r="H10" s="16">
        <v>45502</v>
      </c>
      <c r="I10" s="16">
        <v>45503</v>
      </c>
      <c r="J10" s="14">
        <v>2</v>
      </c>
      <c r="K10" s="15">
        <v>5</v>
      </c>
    </row>
    <row r="11" spans="2:11" ht="15" x14ac:dyDescent="0.3">
      <c r="B11" s="11">
        <v>61</v>
      </c>
      <c r="C11" s="11">
        <v>7</v>
      </c>
      <c r="D11" s="12" t="s">
        <v>116</v>
      </c>
      <c r="E11" s="12" t="s">
        <v>117</v>
      </c>
      <c r="F11" s="12" t="s">
        <v>321</v>
      </c>
      <c r="G11" s="12" t="s">
        <v>118</v>
      </c>
      <c r="H11" s="16">
        <v>45502</v>
      </c>
      <c r="I11" s="16">
        <v>45504</v>
      </c>
      <c r="J11" s="14">
        <v>3</v>
      </c>
      <c r="K11" s="15">
        <v>2</v>
      </c>
    </row>
    <row r="12" spans="2:11" ht="30.6" x14ac:dyDescent="0.3">
      <c r="B12" s="11">
        <v>69</v>
      </c>
      <c r="C12" s="11">
        <v>8</v>
      </c>
      <c r="D12" s="28" t="s">
        <v>137</v>
      </c>
      <c r="E12" s="14" t="s">
        <v>138</v>
      </c>
      <c r="F12" s="14" t="s">
        <v>321</v>
      </c>
      <c r="G12" s="12" t="s">
        <v>139</v>
      </c>
      <c r="H12" s="16">
        <v>45481</v>
      </c>
      <c r="I12" s="16">
        <v>45485</v>
      </c>
      <c r="J12" s="14">
        <v>5</v>
      </c>
      <c r="K12" s="15">
        <v>4</v>
      </c>
    </row>
    <row r="13" spans="2:11" ht="30" x14ac:dyDescent="0.3">
      <c r="B13" s="11">
        <v>93</v>
      </c>
      <c r="C13" s="11">
        <v>9</v>
      </c>
      <c r="D13" s="12" t="s">
        <v>172</v>
      </c>
      <c r="E13" s="12" t="s">
        <v>19</v>
      </c>
      <c r="F13" s="12" t="s">
        <v>321</v>
      </c>
      <c r="G13" s="12" t="s">
        <v>44</v>
      </c>
      <c r="H13" s="16">
        <v>45537</v>
      </c>
      <c r="I13" s="16">
        <v>45542</v>
      </c>
      <c r="J13" s="14">
        <v>6</v>
      </c>
      <c r="K13" s="15">
        <v>6</v>
      </c>
    </row>
    <row r="14" spans="2:11" ht="30.6" x14ac:dyDescent="0.3">
      <c r="B14" s="11">
        <v>107</v>
      </c>
      <c r="C14" s="11">
        <v>10</v>
      </c>
      <c r="D14" s="28" t="s">
        <v>137</v>
      </c>
      <c r="E14" s="14" t="s">
        <v>138</v>
      </c>
      <c r="F14" s="14" t="s">
        <v>321</v>
      </c>
      <c r="G14" s="12" t="s">
        <v>139</v>
      </c>
      <c r="H14" s="16">
        <v>45558</v>
      </c>
      <c r="I14" s="16">
        <v>45562</v>
      </c>
      <c r="J14" s="14">
        <v>5</v>
      </c>
      <c r="K14" s="15">
        <v>5</v>
      </c>
    </row>
    <row r="15" spans="2:11" ht="15" x14ac:dyDescent="0.3">
      <c r="B15" s="11">
        <v>108</v>
      </c>
      <c r="C15" s="11">
        <v>11</v>
      </c>
      <c r="D15" s="12" t="s">
        <v>191</v>
      </c>
      <c r="E15" s="17" t="s">
        <v>53</v>
      </c>
      <c r="F15" s="12" t="s">
        <v>321</v>
      </c>
      <c r="G15" s="12" t="s">
        <v>54</v>
      </c>
      <c r="H15" s="16">
        <v>45586</v>
      </c>
      <c r="I15" s="16">
        <v>45591</v>
      </c>
      <c r="J15" s="14">
        <v>6</v>
      </c>
      <c r="K15" s="15">
        <v>4</v>
      </c>
    </row>
    <row r="16" spans="2:11" ht="45" x14ac:dyDescent="0.3">
      <c r="B16" s="11">
        <v>159</v>
      </c>
      <c r="C16" s="11">
        <v>12</v>
      </c>
      <c r="D16" s="12" t="s">
        <v>238</v>
      </c>
      <c r="E16" s="14" t="s">
        <v>22</v>
      </c>
      <c r="F16" s="12" t="s">
        <v>321</v>
      </c>
      <c r="G16" s="12" t="s">
        <v>23</v>
      </c>
      <c r="H16" s="16">
        <v>45659</v>
      </c>
      <c r="I16" s="16">
        <v>45660</v>
      </c>
      <c r="J16" s="14">
        <v>2</v>
      </c>
      <c r="K16" s="15">
        <v>2</v>
      </c>
    </row>
    <row r="17" spans="2:11" ht="45" x14ac:dyDescent="0.3">
      <c r="B17" s="11">
        <v>160</v>
      </c>
      <c r="C17" s="11">
        <v>13</v>
      </c>
      <c r="D17" s="12" t="s">
        <v>239</v>
      </c>
      <c r="E17" s="14" t="s">
        <v>22</v>
      </c>
      <c r="F17" s="12" t="s">
        <v>321</v>
      </c>
      <c r="G17" s="12" t="s">
        <v>23</v>
      </c>
      <c r="H17" s="16">
        <v>45666</v>
      </c>
      <c r="I17" s="16">
        <v>45667</v>
      </c>
      <c r="J17" s="14">
        <v>2</v>
      </c>
      <c r="K17" s="15">
        <v>1</v>
      </c>
    </row>
    <row r="18" spans="2:11" ht="30" x14ac:dyDescent="0.3">
      <c r="B18" s="11">
        <v>162</v>
      </c>
      <c r="C18" s="11">
        <v>14</v>
      </c>
      <c r="D18" s="12" t="s">
        <v>242</v>
      </c>
      <c r="E18" s="12" t="s">
        <v>19</v>
      </c>
      <c r="F18" s="12" t="s">
        <v>321</v>
      </c>
      <c r="G18" s="12" t="s">
        <v>44</v>
      </c>
      <c r="H18" s="16">
        <v>45663</v>
      </c>
      <c r="I18" s="16">
        <v>45668</v>
      </c>
      <c r="J18" s="14">
        <v>6</v>
      </c>
      <c r="K18" s="15">
        <v>5</v>
      </c>
    </row>
    <row r="19" spans="2:11" ht="15" x14ac:dyDescent="0.3">
      <c r="B19" s="11">
        <v>182</v>
      </c>
      <c r="C19" s="11">
        <v>15</v>
      </c>
      <c r="D19" s="14" t="s">
        <v>269</v>
      </c>
      <c r="E19" s="14" t="s">
        <v>270</v>
      </c>
      <c r="F19" s="14" t="s">
        <v>321</v>
      </c>
      <c r="G19" s="14" t="s">
        <v>50</v>
      </c>
      <c r="H19" s="13">
        <v>45684</v>
      </c>
      <c r="I19" s="13">
        <v>45689</v>
      </c>
      <c r="J19" s="14">
        <v>6</v>
      </c>
      <c r="K19" s="15">
        <v>10</v>
      </c>
    </row>
    <row r="20" spans="2:11" ht="15" x14ac:dyDescent="0.3">
      <c r="B20" s="11">
        <v>184</v>
      </c>
      <c r="C20" s="11">
        <v>16</v>
      </c>
      <c r="D20" s="14" t="s">
        <v>271</v>
      </c>
      <c r="E20" s="14" t="s">
        <v>272</v>
      </c>
      <c r="F20" s="14" t="s">
        <v>321</v>
      </c>
      <c r="G20" s="14" t="s">
        <v>24</v>
      </c>
      <c r="H20" s="13">
        <v>45680</v>
      </c>
      <c r="I20" s="13">
        <v>45680</v>
      </c>
      <c r="J20" s="14">
        <v>1</v>
      </c>
      <c r="K20" s="15">
        <v>5</v>
      </c>
    </row>
    <row r="21" spans="2:11" ht="15" x14ac:dyDescent="0.3">
      <c r="B21" s="11">
        <v>185</v>
      </c>
      <c r="C21" s="11">
        <v>17</v>
      </c>
      <c r="D21" s="14" t="s">
        <v>273</v>
      </c>
      <c r="E21" s="14" t="s">
        <v>272</v>
      </c>
      <c r="F21" s="14" t="s">
        <v>321</v>
      </c>
      <c r="G21" s="14" t="s">
        <v>24</v>
      </c>
      <c r="H21" s="13">
        <v>45680</v>
      </c>
      <c r="I21" s="13">
        <v>45680</v>
      </c>
      <c r="J21" s="14">
        <v>1</v>
      </c>
      <c r="K21" s="15">
        <v>5</v>
      </c>
    </row>
    <row r="22" spans="2:11" ht="30" x14ac:dyDescent="0.3">
      <c r="B22" s="11">
        <v>192</v>
      </c>
      <c r="C22" s="11">
        <v>18</v>
      </c>
      <c r="D22" s="14" t="s">
        <v>137</v>
      </c>
      <c r="E22" s="14" t="s">
        <v>138</v>
      </c>
      <c r="F22" s="14" t="s">
        <v>321</v>
      </c>
      <c r="G22" s="14" t="s">
        <v>139</v>
      </c>
      <c r="H22" s="13">
        <v>45717</v>
      </c>
      <c r="I22" s="13">
        <v>45721</v>
      </c>
      <c r="J22" s="14">
        <v>5</v>
      </c>
      <c r="K22" s="15">
        <v>4</v>
      </c>
    </row>
    <row r="23" spans="2:11" ht="30" x14ac:dyDescent="0.3">
      <c r="B23" s="11">
        <v>193</v>
      </c>
      <c r="C23" s="11">
        <v>19</v>
      </c>
      <c r="D23" s="21" t="s">
        <v>279</v>
      </c>
      <c r="E23" s="21" t="s">
        <v>182</v>
      </c>
      <c r="F23" s="21" t="s">
        <v>321</v>
      </c>
      <c r="G23" s="21" t="s">
        <v>36</v>
      </c>
      <c r="H23" s="20">
        <v>45710</v>
      </c>
      <c r="I23" s="20">
        <v>45714</v>
      </c>
      <c r="J23" s="14">
        <v>5</v>
      </c>
      <c r="K23" s="15">
        <v>2</v>
      </c>
    </row>
    <row r="24" spans="2:11" ht="30" x14ac:dyDescent="0.3">
      <c r="B24" s="11">
        <v>199</v>
      </c>
      <c r="C24" s="11">
        <v>20</v>
      </c>
      <c r="D24" s="21" t="s">
        <v>285</v>
      </c>
      <c r="E24" s="21" t="s">
        <v>286</v>
      </c>
      <c r="F24" s="21" t="s">
        <v>321</v>
      </c>
      <c r="G24" s="21" t="s">
        <v>79</v>
      </c>
      <c r="H24" s="20">
        <v>45709</v>
      </c>
      <c r="I24" s="20">
        <v>45710</v>
      </c>
      <c r="J24" s="14">
        <v>2</v>
      </c>
      <c r="K24" s="15">
        <v>2</v>
      </c>
    </row>
    <row r="25" spans="2:11" ht="15" x14ac:dyDescent="0.3">
      <c r="B25" s="11">
        <v>205</v>
      </c>
      <c r="C25" s="11">
        <v>21</v>
      </c>
      <c r="D25" s="21" t="s">
        <v>297</v>
      </c>
      <c r="E25" s="21" t="s">
        <v>298</v>
      </c>
      <c r="F25" s="21" t="s">
        <v>321</v>
      </c>
      <c r="G25" s="21" t="s">
        <v>24</v>
      </c>
      <c r="H25" s="20">
        <v>45713</v>
      </c>
      <c r="I25" s="20">
        <v>45713</v>
      </c>
      <c r="J25" s="14">
        <v>1</v>
      </c>
      <c r="K25" s="15">
        <v>8</v>
      </c>
    </row>
    <row r="26" spans="2:11" ht="30" x14ac:dyDescent="0.3">
      <c r="B26" s="11">
        <v>208</v>
      </c>
      <c r="C26" s="11">
        <v>22</v>
      </c>
      <c r="D26" s="21" t="s">
        <v>301</v>
      </c>
      <c r="E26" s="21" t="s">
        <v>165</v>
      </c>
      <c r="F26" s="21" t="s">
        <v>321</v>
      </c>
      <c r="G26" s="21" t="s">
        <v>24</v>
      </c>
      <c r="H26" s="20">
        <v>45703</v>
      </c>
      <c r="I26" s="20">
        <v>45703</v>
      </c>
      <c r="J26" s="14">
        <v>1</v>
      </c>
      <c r="K26" s="15">
        <v>4</v>
      </c>
    </row>
    <row r="27" spans="2:11" ht="30.6" x14ac:dyDescent="0.3">
      <c r="B27" s="11">
        <v>211</v>
      </c>
      <c r="C27" s="11">
        <v>23</v>
      </c>
      <c r="D27" s="25" t="s">
        <v>303</v>
      </c>
      <c r="E27" s="25" t="s">
        <v>259</v>
      </c>
      <c r="F27" s="25" t="s">
        <v>321</v>
      </c>
      <c r="G27" s="25" t="s">
        <v>23</v>
      </c>
      <c r="H27" s="20">
        <v>45720</v>
      </c>
      <c r="I27" s="20">
        <v>45720</v>
      </c>
      <c r="J27" s="14">
        <v>1</v>
      </c>
      <c r="K27" s="15">
        <v>4</v>
      </c>
    </row>
    <row r="28" spans="2:11" ht="15.6" x14ac:dyDescent="0.3">
      <c r="B28" s="11">
        <v>215</v>
      </c>
      <c r="C28" s="11">
        <v>24</v>
      </c>
      <c r="D28" s="25" t="s">
        <v>307</v>
      </c>
      <c r="E28" s="25" t="s">
        <v>117</v>
      </c>
      <c r="F28" s="25" t="s">
        <v>321</v>
      </c>
      <c r="G28" s="25" t="s">
        <v>118</v>
      </c>
      <c r="H28" s="20">
        <v>45726</v>
      </c>
      <c r="I28" s="20">
        <v>45728</v>
      </c>
      <c r="J28" s="14">
        <v>3</v>
      </c>
      <c r="K28" s="15">
        <v>3</v>
      </c>
    </row>
    <row r="29" spans="2:11" ht="15.6" x14ac:dyDescent="0.3">
      <c r="B29" s="11">
        <v>216</v>
      </c>
      <c r="C29" s="11">
        <v>25</v>
      </c>
      <c r="D29" s="25" t="s">
        <v>308</v>
      </c>
      <c r="E29" s="25" t="s">
        <v>117</v>
      </c>
      <c r="F29" s="25" t="s">
        <v>321</v>
      </c>
      <c r="G29" s="25" t="s">
        <v>118</v>
      </c>
      <c r="H29" s="20">
        <v>45740</v>
      </c>
      <c r="I29" s="20">
        <v>45742</v>
      </c>
      <c r="J29" s="14">
        <v>3</v>
      </c>
      <c r="K29" s="15">
        <v>2</v>
      </c>
    </row>
    <row r="30" spans="2:11" ht="30" x14ac:dyDescent="0.3">
      <c r="B30" s="11">
        <v>217</v>
      </c>
      <c r="C30" s="11">
        <v>26</v>
      </c>
      <c r="D30" s="21" t="s">
        <v>309</v>
      </c>
      <c r="E30" s="21" t="s">
        <v>214</v>
      </c>
      <c r="F30" s="21" t="s">
        <v>321</v>
      </c>
      <c r="G30" s="21" t="s">
        <v>23</v>
      </c>
      <c r="H30" s="20">
        <v>45727</v>
      </c>
      <c r="I30" s="20">
        <v>45727</v>
      </c>
      <c r="J30" s="14">
        <v>1</v>
      </c>
      <c r="K30" s="15">
        <v>1</v>
      </c>
    </row>
    <row r="31" spans="2:11" ht="30" x14ac:dyDescent="0.3">
      <c r="B31" s="11">
        <v>219</v>
      </c>
      <c r="C31" s="11">
        <v>27</v>
      </c>
      <c r="D31" s="12" t="s">
        <v>111</v>
      </c>
      <c r="E31" s="12" t="s">
        <v>112</v>
      </c>
      <c r="F31" s="12" t="s">
        <v>321</v>
      </c>
      <c r="G31" s="12" t="s">
        <v>113</v>
      </c>
      <c r="H31" s="13">
        <v>45736</v>
      </c>
      <c r="I31" s="16">
        <v>45738</v>
      </c>
      <c r="J31" s="14">
        <v>3</v>
      </c>
      <c r="K31" s="15">
        <v>2</v>
      </c>
    </row>
    <row r="32" spans="2:11" ht="30" x14ac:dyDescent="0.3">
      <c r="B32" s="11">
        <v>223</v>
      </c>
      <c r="C32" s="11">
        <v>28</v>
      </c>
      <c r="D32" s="14" t="s">
        <v>318</v>
      </c>
      <c r="E32" s="14" t="s">
        <v>319</v>
      </c>
      <c r="F32" s="14" t="s">
        <v>321</v>
      </c>
      <c r="G32" s="14" t="s">
        <v>320</v>
      </c>
      <c r="H32" s="13">
        <v>45734</v>
      </c>
      <c r="I32" s="13">
        <v>45738</v>
      </c>
      <c r="J32" s="14">
        <v>5</v>
      </c>
      <c r="K32" s="15">
        <v>3</v>
      </c>
    </row>
    <row r="33" spans="2:11" ht="30" x14ac:dyDescent="0.3">
      <c r="B33" s="11">
        <v>224</v>
      </c>
      <c r="C33" s="11">
        <v>29</v>
      </c>
      <c r="D33" s="14" t="s">
        <v>318</v>
      </c>
      <c r="E33" s="14" t="s">
        <v>319</v>
      </c>
      <c r="F33" s="14" t="s">
        <v>321</v>
      </c>
      <c r="G33" s="14" t="s">
        <v>320</v>
      </c>
      <c r="H33" s="13">
        <v>45741</v>
      </c>
      <c r="I33" s="13">
        <v>45745</v>
      </c>
      <c r="J33" s="14">
        <v>5</v>
      </c>
      <c r="K33" s="15">
        <v>4</v>
      </c>
    </row>
    <row r="34" spans="2:11" ht="30" x14ac:dyDescent="0.3">
      <c r="B34" s="11">
        <v>225</v>
      </c>
      <c r="C34" s="11">
        <v>30</v>
      </c>
      <c r="D34" s="14" t="s">
        <v>318</v>
      </c>
      <c r="E34" s="14" t="s">
        <v>319</v>
      </c>
      <c r="F34" s="14" t="s">
        <v>321</v>
      </c>
      <c r="G34" s="14" t="s">
        <v>320</v>
      </c>
      <c r="H34" s="13">
        <v>45741</v>
      </c>
      <c r="I34" s="13">
        <v>45745</v>
      </c>
      <c r="J34" s="14">
        <v>5</v>
      </c>
      <c r="K34" s="15">
        <v>5</v>
      </c>
    </row>
    <row r="35" spans="2:11" ht="30" x14ac:dyDescent="0.3">
      <c r="B35" s="11">
        <v>226</v>
      </c>
      <c r="C35" s="11">
        <v>31</v>
      </c>
      <c r="D35" s="21" t="s">
        <v>304</v>
      </c>
      <c r="E35" s="21" t="s">
        <v>208</v>
      </c>
      <c r="F35" s="21" t="s">
        <v>321</v>
      </c>
      <c r="G35" s="21" t="s">
        <v>23</v>
      </c>
      <c r="H35" s="20">
        <v>45737</v>
      </c>
      <c r="I35" s="20">
        <v>45737</v>
      </c>
      <c r="J35" s="14">
        <v>1</v>
      </c>
      <c r="K35" s="15">
        <v>3</v>
      </c>
    </row>
    <row r="36" spans="2:11" ht="30" x14ac:dyDescent="0.3">
      <c r="B36" s="11">
        <v>227</v>
      </c>
      <c r="C36" s="11">
        <v>32</v>
      </c>
      <c r="D36" s="21" t="s">
        <v>304</v>
      </c>
      <c r="E36" s="21" t="s">
        <v>208</v>
      </c>
      <c r="F36" s="21" t="s">
        <v>321</v>
      </c>
      <c r="G36" s="21" t="s">
        <v>23</v>
      </c>
      <c r="H36" s="20">
        <v>45738</v>
      </c>
      <c r="I36" s="20">
        <v>45738</v>
      </c>
      <c r="J36" s="14">
        <v>1</v>
      </c>
      <c r="K36" s="15">
        <v>1</v>
      </c>
    </row>
  </sheetData>
  <mergeCells count="1">
    <mergeCell ref="C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9"/>
  <sheetViews>
    <sheetView workbookViewId="0">
      <selection activeCell="M6" sqref="M6"/>
    </sheetView>
  </sheetViews>
  <sheetFormatPr defaultRowHeight="14.4" x14ac:dyDescent="0.3"/>
  <cols>
    <col min="2" max="2" width="0" hidden="1" customWidth="1"/>
    <col min="4" max="4" width="47.6640625" customWidth="1"/>
    <col min="5" max="5" width="33.44140625" customWidth="1"/>
    <col min="6" max="6" width="16" customWidth="1"/>
    <col min="7" max="7" width="15.44140625" customWidth="1"/>
    <col min="8" max="8" width="17.6640625" customWidth="1"/>
    <col min="9" max="9" width="16.5546875" customWidth="1"/>
    <col min="11" max="11" width="13.6640625" customWidth="1"/>
  </cols>
  <sheetData>
    <row r="2" spans="2:11" ht="33.75" customHeight="1" x14ac:dyDescent="0.3">
      <c r="C2" s="30" t="str">
        <f>"External Training Detail For Year 2024-25 ("&amp;K4&amp;")"</f>
        <v>External Training Detail For Year 2024-25 (MGVCL)</v>
      </c>
      <c r="D2" s="30"/>
      <c r="E2" s="30"/>
      <c r="F2" s="30"/>
      <c r="G2" s="30"/>
      <c r="H2" s="30"/>
      <c r="I2" s="30"/>
      <c r="J2" s="30"/>
      <c r="K2" s="30"/>
    </row>
    <row r="4" spans="2:11" ht="31.2" x14ac:dyDescent="0.3">
      <c r="B4" s="9" t="s">
        <v>2</v>
      </c>
      <c r="C4" s="9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0" t="s">
        <v>16</v>
      </c>
    </row>
    <row r="5" spans="2:11" ht="30" x14ac:dyDescent="0.3">
      <c r="B5" s="11">
        <v>7</v>
      </c>
      <c r="C5" s="11">
        <v>1</v>
      </c>
      <c r="D5" s="12" t="s">
        <v>34</v>
      </c>
      <c r="E5" s="12" t="s">
        <v>35</v>
      </c>
      <c r="F5" s="12" t="s">
        <v>321</v>
      </c>
      <c r="G5" s="12" t="s">
        <v>36</v>
      </c>
      <c r="H5" s="16">
        <v>45439</v>
      </c>
      <c r="I5" s="16">
        <v>45443</v>
      </c>
      <c r="J5" s="14">
        <v>5</v>
      </c>
      <c r="K5" s="15">
        <v>1</v>
      </c>
    </row>
    <row r="6" spans="2:11" ht="30" x14ac:dyDescent="0.3">
      <c r="B6" s="11">
        <v>8</v>
      </c>
      <c r="C6" s="11">
        <v>2</v>
      </c>
      <c r="D6" s="12" t="s">
        <v>37</v>
      </c>
      <c r="E6" s="12" t="s">
        <v>38</v>
      </c>
      <c r="F6" s="12" t="s">
        <v>321</v>
      </c>
      <c r="G6" s="12" t="s">
        <v>23</v>
      </c>
      <c r="H6" s="16">
        <v>45442</v>
      </c>
      <c r="I6" s="16">
        <v>45443</v>
      </c>
      <c r="J6" s="14">
        <v>2</v>
      </c>
      <c r="K6" s="15">
        <v>2</v>
      </c>
    </row>
    <row r="7" spans="2:11" ht="15" x14ac:dyDescent="0.3">
      <c r="B7" s="11">
        <v>10</v>
      </c>
      <c r="C7" s="11">
        <v>3</v>
      </c>
      <c r="D7" s="12" t="s">
        <v>40</v>
      </c>
      <c r="E7" s="12" t="s">
        <v>41</v>
      </c>
      <c r="F7" s="12" t="s">
        <v>321</v>
      </c>
      <c r="G7" s="12" t="s">
        <v>23</v>
      </c>
      <c r="H7" s="16">
        <v>45463</v>
      </c>
      <c r="I7" s="16">
        <v>45464</v>
      </c>
      <c r="J7" s="14">
        <v>2</v>
      </c>
      <c r="K7" s="15">
        <v>1</v>
      </c>
    </row>
    <row r="8" spans="2:11" ht="30" x14ac:dyDescent="0.3">
      <c r="B8" s="11">
        <v>12</v>
      </c>
      <c r="C8" s="11">
        <v>4</v>
      </c>
      <c r="D8" s="12" t="s">
        <v>43</v>
      </c>
      <c r="E8" s="12" t="s">
        <v>19</v>
      </c>
      <c r="F8" s="12" t="s">
        <v>321</v>
      </c>
      <c r="G8" s="12" t="s">
        <v>44</v>
      </c>
      <c r="H8" s="16">
        <v>45467</v>
      </c>
      <c r="I8" s="16">
        <v>45472</v>
      </c>
      <c r="J8" s="14">
        <v>6</v>
      </c>
      <c r="K8" s="15">
        <v>5</v>
      </c>
    </row>
    <row r="9" spans="2:11" ht="15" x14ac:dyDescent="0.3">
      <c r="B9" s="11">
        <v>21</v>
      </c>
      <c r="C9" s="11">
        <v>5</v>
      </c>
      <c r="D9" s="14" t="s">
        <v>52</v>
      </c>
      <c r="E9" s="17" t="s">
        <v>53</v>
      </c>
      <c r="F9" s="14" t="s">
        <v>321</v>
      </c>
      <c r="G9" s="17" t="s">
        <v>54</v>
      </c>
      <c r="H9" s="2">
        <v>45439</v>
      </c>
      <c r="I9" s="2">
        <v>45444</v>
      </c>
      <c r="J9" s="14">
        <v>6</v>
      </c>
      <c r="K9" s="15">
        <v>4</v>
      </c>
    </row>
    <row r="10" spans="2:11" ht="15" x14ac:dyDescent="0.3">
      <c r="B10" s="11">
        <v>22</v>
      </c>
      <c r="C10" s="11">
        <v>6</v>
      </c>
      <c r="D10" s="14" t="s">
        <v>55</v>
      </c>
      <c r="E10" s="14" t="s">
        <v>56</v>
      </c>
      <c r="F10" s="14" t="s">
        <v>321</v>
      </c>
      <c r="G10" s="14" t="s">
        <v>57</v>
      </c>
      <c r="H10" s="13">
        <v>45451</v>
      </c>
      <c r="I10" s="13">
        <v>45455</v>
      </c>
      <c r="J10" s="14">
        <v>5</v>
      </c>
      <c r="K10" s="15">
        <v>4</v>
      </c>
    </row>
    <row r="11" spans="2:11" ht="30" x14ac:dyDescent="0.3">
      <c r="B11" s="11">
        <v>23</v>
      </c>
      <c r="C11" s="11">
        <v>7</v>
      </c>
      <c r="D11" s="12" t="s">
        <v>58</v>
      </c>
      <c r="E11" s="12" t="s">
        <v>59</v>
      </c>
      <c r="F11" s="12" t="s">
        <v>321</v>
      </c>
      <c r="G11" s="12" t="s">
        <v>24</v>
      </c>
      <c r="H11" s="16">
        <v>45442</v>
      </c>
      <c r="I11" s="16">
        <v>45442</v>
      </c>
      <c r="J11" s="14">
        <v>1</v>
      </c>
      <c r="K11" s="15">
        <v>5</v>
      </c>
    </row>
    <row r="12" spans="2:11" ht="30" x14ac:dyDescent="0.3">
      <c r="B12" s="11">
        <v>25</v>
      </c>
      <c r="C12" s="11">
        <v>8</v>
      </c>
      <c r="D12" s="12" t="s">
        <v>62</v>
      </c>
      <c r="E12" s="12" t="s">
        <v>63</v>
      </c>
      <c r="F12" s="12" t="s">
        <v>321</v>
      </c>
      <c r="G12" s="12" t="s">
        <v>64</v>
      </c>
      <c r="H12" s="16">
        <v>45455</v>
      </c>
      <c r="I12" s="16">
        <v>45457</v>
      </c>
      <c r="J12" s="14">
        <v>3</v>
      </c>
      <c r="K12" s="15">
        <v>2</v>
      </c>
    </row>
    <row r="13" spans="2:11" ht="30" x14ac:dyDescent="0.3">
      <c r="B13" s="11">
        <v>26</v>
      </c>
      <c r="C13" s="11">
        <v>9</v>
      </c>
      <c r="D13" s="12" t="s">
        <v>65</v>
      </c>
      <c r="E13" s="12" t="s">
        <v>63</v>
      </c>
      <c r="F13" s="12" t="s">
        <v>321</v>
      </c>
      <c r="G13" s="12" t="s">
        <v>64</v>
      </c>
      <c r="H13" s="16">
        <v>45468</v>
      </c>
      <c r="I13" s="16">
        <v>45471</v>
      </c>
      <c r="J13" s="14">
        <v>4</v>
      </c>
      <c r="K13" s="15">
        <v>2</v>
      </c>
    </row>
    <row r="14" spans="2:11" ht="60" x14ac:dyDescent="0.3">
      <c r="B14" s="11">
        <v>30</v>
      </c>
      <c r="C14" s="11">
        <v>10</v>
      </c>
      <c r="D14" s="12" t="s">
        <v>73</v>
      </c>
      <c r="E14" s="12" t="s">
        <v>32</v>
      </c>
      <c r="F14" s="12" t="s">
        <v>321</v>
      </c>
      <c r="G14" s="12" t="s">
        <v>74</v>
      </c>
      <c r="H14" s="16">
        <v>45449</v>
      </c>
      <c r="I14" s="16">
        <v>45449</v>
      </c>
      <c r="J14" s="14">
        <v>1</v>
      </c>
      <c r="K14" s="15">
        <v>1</v>
      </c>
    </row>
    <row r="15" spans="2:11" ht="45" x14ac:dyDescent="0.3">
      <c r="B15" s="11">
        <v>32</v>
      </c>
      <c r="C15" s="11">
        <v>11</v>
      </c>
      <c r="D15" s="12" t="s">
        <v>78</v>
      </c>
      <c r="E15" s="12" t="s">
        <v>32</v>
      </c>
      <c r="F15" s="12" t="s">
        <v>321</v>
      </c>
      <c r="G15" s="12" t="s">
        <v>79</v>
      </c>
      <c r="H15" s="16">
        <v>45464</v>
      </c>
      <c r="I15" s="16">
        <v>45464</v>
      </c>
      <c r="J15" s="14">
        <v>1</v>
      </c>
      <c r="K15" s="15">
        <v>1</v>
      </c>
    </row>
    <row r="16" spans="2:11" ht="30" x14ac:dyDescent="0.3">
      <c r="B16" s="11">
        <v>44</v>
      </c>
      <c r="C16" s="11">
        <v>12</v>
      </c>
      <c r="D16" s="12" t="s">
        <v>91</v>
      </c>
      <c r="E16" s="12" t="s">
        <v>19</v>
      </c>
      <c r="F16" s="12" t="s">
        <v>321</v>
      </c>
      <c r="G16" s="12" t="s">
        <v>29</v>
      </c>
      <c r="H16" s="16">
        <v>45509</v>
      </c>
      <c r="I16" s="16">
        <v>45513</v>
      </c>
      <c r="J16" s="14">
        <v>5</v>
      </c>
      <c r="K16" s="15">
        <v>1</v>
      </c>
    </row>
    <row r="17" spans="2:11" ht="30" x14ac:dyDescent="0.3">
      <c r="B17" s="11">
        <v>60</v>
      </c>
      <c r="C17" s="11">
        <v>13</v>
      </c>
      <c r="D17" s="12" t="s">
        <v>126</v>
      </c>
      <c r="E17" s="12" t="s">
        <v>127</v>
      </c>
      <c r="F17" s="12" t="s">
        <v>321</v>
      </c>
      <c r="G17" s="12" t="s">
        <v>128</v>
      </c>
      <c r="H17" s="16">
        <v>45502</v>
      </c>
      <c r="I17" s="16">
        <v>45503</v>
      </c>
      <c r="J17" s="14">
        <v>2</v>
      </c>
      <c r="K17" s="15">
        <v>5</v>
      </c>
    </row>
    <row r="18" spans="2:11" ht="30.6" x14ac:dyDescent="0.3">
      <c r="B18" s="11">
        <v>69</v>
      </c>
      <c r="C18" s="11">
        <v>14</v>
      </c>
      <c r="D18" s="28" t="s">
        <v>137</v>
      </c>
      <c r="E18" s="14" t="s">
        <v>138</v>
      </c>
      <c r="F18" s="14" t="s">
        <v>321</v>
      </c>
      <c r="G18" s="12" t="s">
        <v>139</v>
      </c>
      <c r="H18" s="16">
        <v>45481</v>
      </c>
      <c r="I18" s="16">
        <v>45485</v>
      </c>
      <c r="J18" s="14">
        <v>5</v>
      </c>
      <c r="K18" s="15">
        <v>5</v>
      </c>
    </row>
    <row r="19" spans="2:11" ht="30" x14ac:dyDescent="0.3">
      <c r="B19" s="11">
        <v>76</v>
      </c>
      <c r="C19" s="11">
        <v>15</v>
      </c>
      <c r="D19" s="12" t="s">
        <v>150</v>
      </c>
      <c r="E19" s="12" t="s">
        <v>63</v>
      </c>
      <c r="F19" s="12" t="s">
        <v>321</v>
      </c>
      <c r="G19" s="12" t="s">
        <v>64</v>
      </c>
      <c r="H19" s="16">
        <v>45510</v>
      </c>
      <c r="I19" s="16">
        <v>45513</v>
      </c>
      <c r="J19" s="14">
        <v>4</v>
      </c>
      <c r="K19" s="15">
        <v>7</v>
      </c>
    </row>
    <row r="20" spans="2:11" ht="30" x14ac:dyDescent="0.3">
      <c r="B20" s="11">
        <v>81</v>
      </c>
      <c r="C20" s="11">
        <v>16</v>
      </c>
      <c r="D20" s="12" t="s">
        <v>156</v>
      </c>
      <c r="E20" s="12" t="s">
        <v>63</v>
      </c>
      <c r="F20" s="12" t="s">
        <v>321</v>
      </c>
      <c r="G20" s="12" t="s">
        <v>64</v>
      </c>
      <c r="H20" s="16">
        <v>45525</v>
      </c>
      <c r="I20" s="16">
        <v>45528</v>
      </c>
      <c r="J20" s="14">
        <v>4</v>
      </c>
      <c r="K20" s="15">
        <v>4</v>
      </c>
    </row>
    <row r="21" spans="2:11" ht="30" x14ac:dyDescent="0.3">
      <c r="B21" s="11">
        <v>82</v>
      </c>
      <c r="C21" s="11">
        <v>17</v>
      </c>
      <c r="D21" s="12" t="s">
        <v>157</v>
      </c>
      <c r="E21" s="12" t="s">
        <v>38</v>
      </c>
      <c r="F21" s="12" t="s">
        <v>321</v>
      </c>
      <c r="G21" s="12" t="s">
        <v>158</v>
      </c>
      <c r="H21" s="16">
        <v>45510</v>
      </c>
      <c r="I21" s="16">
        <v>45510</v>
      </c>
      <c r="J21" s="14">
        <v>1</v>
      </c>
      <c r="K21" s="15">
        <v>1</v>
      </c>
    </row>
    <row r="22" spans="2:11" ht="30" x14ac:dyDescent="0.3">
      <c r="B22" s="11">
        <v>87</v>
      </c>
      <c r="C22" s="11">
        <v>18</v>
      </c>
      <c r="D22" s="12" t="s">
        <v>164</v>
      </c>
      <c r="E22" s="12" t="s">
        <v>165</v>
      </c>
      <c r="F22" s="12" t="s">
        <v>321</v>
      </c>
      <c r="G22" s="12" t="s">
        <v>24</v>
      </c>
      <c r="H22" s="16">
        <v>45526</v>
      </c>
      <c r="I22" s="16">
        <v>45526</v>
      </c>
      <c r="J22" s="14">
        <v>1</v>
      </c>
      <c r="K22" s="15">
        <v>6</v>
      </c>
    </row>
    <row r="23" spans="2:11" ht="45" x14ac:dyDescent="0.3">
      <c r="B23" s="11">
        <v>89</v>
      </c>
      <c r="C23" s="11">
        <v>19</v>
      </c>
      <c r="D23" s="12" t="s">
        <v>167</v>
      </c>
      <c r="E23" s="12" t="s">
        <v>104</v>
      </c>
      <c r="F23" s="12" t="s">
        <v>321</v>
      </c>
      <c r="G23" s="12" t="s">
        <v>23</v>
      </c>
      <c r="H23" s="16">
        <v>45526</v>
      </c>
      <c r="I23" s="16">
        <v>45527</v>
      </c>
      <c r="J23" s="14">
        <v>2</v>
      </c>
      <c r="K23" s="15">
        <v>1</v>
      </c>
    </row>
    <row r="24" spans="2:11" ht="30" x14ac:dyDescent="0.3">
      <c r="B24" s="11">
        <v>99</v>
      </c>
      <c r="C24" s="11">
        <v>20</v>
      </c>
      <c r="D24" s="12" t="s">
        <v>178</v>
      </c>
      <c r="E24" s="12" t="s">
        <v>63</v>
      </c>
      <c r="F24" s="12" t="s">
        <v>321</v>
      </c>
      <c r="G24" s="12" t="s">
        <v>64</v>
      </c>
      <c r="H24" s="16">
        <v>45559</v>
      </c>
      <c r="I24" s="16">
        <v>45562</v>
      </c>
      <c r="J24" s="14">
        <v>4</v>
      </c>
      <c r="K24" s="15">
        <v>2</v>
      </c>
    </row>
    <row r="25" spans="2:11" ht="15" x14ac:dyDescent="0.3">
      <c r="B25" s="11">
        <v>101</v>
      </c>
      <c r="C25" s="11">
        <v>21</v>
      </c>
      <c r="D25" s="12" t="s">
        <v>181</v>
      </c>
      <c r="E25" s="12" t="s">
        <v>182</v>
      </c>
      <c r="F25" s="12" t="s">
        <v>321</v>
      </c>
      <c r="G25" s="12" t="s">
        <v>79</v>
      </c>
      <c r="H25" s="16">
        <v>45559</v>
      </c>
      <c r="I25" s="16">
        <v>45560</v>
      </c>
      <c r="J25" s="14">
        <v>2</v>
      </c>
      <c r="K25" s="15">
        <v>1</v>
      </c>
    </row>
    <row r="26" spans="2:11" ht="30.6" x14ac:dyDescent="0.3">
      <c r="B26" s="11">
        <v>107</v>
      </c>
      <c r="C26" s="11">
        <v>22</v>
      </c>
      <c r="D26" s="28" t="s">
        <v>137</v>
      </c>
      <c r="E26" s="14" t="s">
        <v>138</v>
      </c>
      <c r="F26" s="14" t="s">
        <v>321</v>
      </c>
      <c r="G26" s="12" t="s">
        <v>139</v>
      </c>
      <c r="H26" s="16">
        <v>45558</v>
      </c>
      <c r="I26" s="16">
        <v>45562</v>
      </c>
      <c r="J26" s="14">
        <v>5</v>
      </c>
      <c r="K26" s="15">
        <v>4</v>
      </c>
    </row>
    <row r="27" spans="2:11" ht="15" x14ac:dyDescent="0.3">
      <c r="B27" s="11">
        <v>108</v>
      </c>
      <c r="C27" s="11">
        <v>23</v>
      </c>
      <c r="D27" s="12" t="s">
        <v>191</v>
      </c>
      <c r="E27" s="17" t="s">
        <v>53</v>
      </c>
      <c r="F27" s="12" t="s">
        <v>321</v>
      </c>
      <c r="G27" s="12" t="s">
        <v>54</v>
      </c>
      <c r="H27" s="16">
        <v>45586</v>
      </c>
      <c r="I27" s="16">
        <v>45591</v>
      </c>
      <c r="J27" s="14">
        <v>6</v>
      </c>
      <c r="K27" s="15">
        <v>5</v>
      </c>
    </row>
    <row r="28" spans="2:11" ht="30" x14ac:dyDescent="0.3">
      <c r="B28" s="11">
        <v>113</v>
      </c>
      <c r="C28" s="11">
        <v>24</v>
      </c>
      <c r="D28" s="12" t="s">
        <v>196</v>
      </c>
      <c r="E28" s="12" t="s">
        <v>19</v>
      </c>
      <c r="F28" s="12" t="s">
        <v>321</v>
      </c>
      <c r="G28" s="12" t="s">
        <v>61</v>
      </c>
      <c r="H28" s="16">
        <v>45544</v>
      </c>
      <c r="I28" s="16">
        <v>45549</v>
      </c>
      <c r="J28" s="14">
        <v>6</v>
      </c>
      <c r="K28" s="15">
        <v>3</v>
      </c>
    </row>
    <row r="29" spans="2:11" ht="30" x14ac:dyDescent="0.3">
      <c r="B29" s="11">
        <v>115</v>
      </c>
      <c r="C29" s="11">
        <v>25</v>
      </c>
      <c r="D29" s="12" t="s">
        <v>196</v>
      </c>
      <c r="E29" s="12" t="s">
        <v>19</v>
      </c>
      <c r="F29" s="12" t="s">
        <v>321</v>
      </c>
      <c r="G29" s="12" t="s">
        <v>61</v>
      </c>
      <c r="H29" s="16">
        <v>45600</v>
      </c>
      <c r="I29" s="16">
        <v>45605</v>
      </c>
      <c r="J29" s="14">
        <v>6</v>
      </c>
      <c r="K29" s="15">
        <v>4</v>
      </c>
    </row>
    <row r="30" spans="2:11" ht="30" x14ac:dyDescent="0.3">
      <c r="B30" s="11">
        <v>116</v>
      </c>
      <c r="C30" s="11">
        <v>26</v>
      </c>
      <c r="D30" s="12" t="s">
        <v>196</v>
      </c>
      <c r="E30" s="12" t="s">
        <v>19</v>
      </c>
      <c r="F30" s="12" t="s">
        <v>321</v>
      </c>
      <c r="G30" s="12" t="s">
        <v>61</v>
      </c>
      <c r="H30" s="16">
        <v>45628</v>
      </c>
      <c r="I30" s="16">
        <v>45633</v>
      </c>
      <c r="J30" s="14">
        <v>6</v>
      </c>
      <c r="K30" s="15">
        <v>2</v>
      </c>
    </row>
    <row r="31" spans="2:11" ht="30" x14ac:dyDescent="0.3">
      <c r="B31" s="11">
        <v>117</v>
      </c>
      <c r="C31" s="11">
        <v>27</v>
      </c>
      <c r="D31" s="12" t="s">
        <v>197</v>
      </c>
      <c r="E31" s="12" t="s">
        <v>19</v>
      </c>
      <c r="F31" s="12" t="s">
        <v>321</v>
      </c>
      <c r="G31" s="12" t="s">
        <v>61</v>
      </c>
      <c r="H31" s="16">
        <v>45558</v>
      </c>
      <c r="I31" s="16">
        <v>45563</v>
      </c>
      <c r="J31" s="14">
        <v>6</v>
      </c>
      <c r="K31" s="15">
        <v>3</v>
      </c>
    </row>
    <row r="32" spans="2:11" ht="30" x14ac:dyDescent="0.3">
      <c r="B32" s="11">
        <v>118</v>
      </c>
      <c r="C32" s="11">
        <v>28</v>
      </c>
      <c r="D32" s="12" t="s">
        <v>197</v>
      </c>
      <c r="E32" s="12" t="s">
        <v>19</v>
      </c>
      <c r="F32" s="12" t="s">
        <v>321</v>
      </c>
      <c r="G32" s="12" t="s">
        <v>61</v>
      </c>
      <c r="H32" s="16">
        <v>45586</v>
      </c>
      <c r="I32" s="16">
        <v>45591</v>
      </c>
      <c r="J32" s="14">
        <v>6</v>
      </c>
      <c r="K32" s="15">
        <v>4</v>
      </c>
    </row>
    <row r="33" spans="2:11" ht="30" x14ac:dyDescent="0.3">
      <c r="B33" s="11">
        <v>119</v>
      </c>
      <c r="C33" s="11">
        <v>29</v>
      </c>
      <c r="D33" s="12" t="s">
        <v>197</v>
      </c>
      <c r="E33" s="12" t="s">
        <v>19</v>
      </c>
      <c r="F33" s="12" t="s">
        <v>321</v>
      </c>
      <c r="G33" s="12" t="s">
        <v>61</v>
      </c>
      <c r="H33" s="16">
        <v>45614</v>
      </c>
      <c r="I33" s="16">
        <v>45619</v>
      </c>
      <c r="J33" s="14">
        <v>6</v>
      </c>
      <c r="K33" s="15">
        <v>3</v>
      </c>
    </row>
    <row r="34" spans="2:11" ht="30" x14ac:dyDescent="0.3">
      <c r="B34" s="11">
        <v>120</v>
      </c>
      <c r="C34" s="11">
        <v>30</v>
      </c>
      <c r="D34" s="12" t="s">
        <v>197</v>
      </c>
      <c r="E34" s="12" t="s">
        <v>19</v>
      </c>
      <c r="F34" s="12" t="s">
        <v>321</v>
      </c>
      <c r="G34" s="12" t="s">
        <v>61</v>
      </c>
      <c r="H34" s="16">
        <v>45642</v>
      </c>
      <c r="I34" s="16">
        <v>45647</v>
      </c>
      <c r="J34" s="14">
        <v>6</v>
      </c>
      <c r="K34" s="15">
        <v>4</v>
      </c>
    </row>
    <row r="35" spans="2:11" ht="45" x14ac:dyDescent="0.3">
      <c r="B35" s="11">
        <v>131</v>
      </c>
      <c r="C35" s="11">
        <v>31</v>
      </c>
      <c r="D35" s="12" t="s">
        <v>206</v>
      </c>
      <c r="E35" s="12" t="s">
        <v>182</v>
      </c>
      <c r="F35" s="12" t="s">
        <v>321</v>
      </c>
      <c r="G35" s="12" t="s">
        <v>23</v>
      </c>
      <c r="H35" s="16">
        <v>45617</v>
      </c>
      <c r="I35" s="16">
        <v>45618</v>
      </c>
      <c r="J35" s="14">
        <v>2</v>
      </c>
      <c r="K35" s="15">
        <v>2</v>
      </c>
    </row>
    <row r="36" spans="2:11" ht="30.6" x14ac:dyDescent="0.3">
      <c r="B36" s="11">
        <v>135</v>
      </c>
      <c r="C36" s="11">
        <v>32</v>
      </c>
      <c r="D36" s="24" t="s">
        <v>213</v>
      </c>
      <c r="E36" s="21" t="s">
        <v>214</v>
      </c>
      <c r="F36" s="24" t="s">
        <v>321</v>
      </c>
      <c r="G36" s="24" t="s">
        <v>23</v>
      </c>
      <c r="H36" s="16">
        <v>45616</v>
      </c>
      <c r="I36" s="16">
        <v>45618</v>
      </c>
      <c r="J36" s="14">
        <v>3</v>
      </c>
      <c r="K36" s="15">
        <v>1</v>
      </c>
    </row>
    <row r="37" spans="2:11" ht="15" x14ac:dyDescent="0.3">
      <c r="B37" s="11">
        <v>136</v>
      </c>
      <c r="C37" s="11">
        <v>33</v>
      </c>
      <c r="D37" s="12" t="s">
        <v>215</v>
      </c>
      <c r="E37" s="12" t="s">
        <v>19</v>
      </c>
      <c r="F37" s="12" t="s">
        <v>321</v>
      </c>
      <c r="G37" s="12" t="s">
        <v>216</v>
      </c>
      <c r="H37" s="16">
        <v>45614</v>
      </c>
      <c r="I37" s="16">
        <v>45618</v>
      </c>
      <c r="J37" s="14">
        <v>5</v>
      </c>
      <c r="K37" s="15">
        <v>1</v>
      </c>
    </row>
    <row r="38" spans="2:11" ht="45" x14ac:dyDescent="0.3">
      <c r="B38" s="11">
        <v>139</v>
      </c>
      <c r="C38" s="11">
        <v>34</v>
      </c>
      <c r="D38" s="12" t="s">
        <v>218</v>
      </c>
      <c r="E38" s="12" t="s">
        <v>199</v>
      </c>
      <c r="F38" s="12" t="s">
        <v>51</v>
      </c>
      <c r="G38" s="12" t="s">
        <v>68</v>
      </c>
      <c r="H38" s="16">
        <v>45629</v>
      </c>
      <c r="I38" s="16">
        <v>45632</v>
      </c>
      <c r="J38" s="14">
        <v>4</v>
      </c>
      <c r="K38" s="18">
        <v>1</v>
      </c>
    </row>
    <row r="39" spans="2:11" ht="30" x14ac:dyDescent="0.3">
      <c r="B39" s="11">
        <v>142</v>
      </c>
      <c r="C39" s="11">
        <v>35</v>
      </c>
      <c r="D39" s="14" t="s">
        <v>220</v>
      </c>
      <c r="E39" s="14" t="s">
        <v>46</v>
      </c>
      <c r="F39" s="14" t="s">
        <v>321</v>
      </c>
      <c r="G39" s="14" t="s">
        <v>23</v>
      </c>
      <c r="H39" s="13">
        <v>45607</v>
      </c>
      <c r="I39" s="13">
        <v>45609</v>
      </c>
      <c r="J39" s="14">
        <v>3</v>
      </c>
      <c r="K39" s="15">
        <v>30</v>
      </c>
    </row>
    <row r="40" spans="2:11" ht="30" x14ac:dyDescent="0.3">
      <c r="B40" s="11">
        <v>143</v>
      </c>
      <c r="C40" s="11">
        <v>36</v>
      </c>
      <c r="D40" s="14" t="s">
        <v>221</v>
      </c>
      <c r="E40" s="14" t="s">
        <v>46</v>
      </c>
      <c r="F40" s="14" t="s">
        <v>321</v>
      </c>
      <c r="G40" s="14" t="s">
        <v>23</v>
      </c>
      <c r="H40" s="13">
        <v>45614</v>
      </c>
      <c r="I40" s="13">
        <v>45616</v>
      </c>
      <c r="J40" s="14">
        <v>3</v>
      </c>
      <c r="K40" s="15">
        <v>30</v>
      </c>
    </row>
    <row r="41" spans="2:11" ht="30" x14ac:dyDescent="0.3">
      <c r="B41" s="11">
        <v>144</v>
      </c>
      <c r="C41" s="11">
        <v>37</v>
      </c>
      <c r="D41" s="14" t="s">
        <v>222</v>
      </c>
      <c r="E41" s="14" t="s">
        <v>46</v>
      </c>
      <c r="F41" s="14" t="s">
        <v>321</v>
      </c>
      <c r="G41" s="14" t="s">
        <v>23</v>
      </c>
      <c r="H41" s="13">
        <v>45621</v>
      </c>
      <c r="I41" s="13">
        <v>45623</v>
      </c>
      <c r="J41" s="14">
        <v>3</v>
      </c>
      <c r="K41" s="15">
        <v>29</v>
      </c>
    </row>
    <row r="42" spans="2:11" ht="30" x14ac:dyDescent="0.3">
      <c r="B42" s="11">
        <v>145</v>
      </c>
      <c r="C42" s="11">
        <v>38</v>
      </c>
      <c r="D42" s="12" t="s">
        <v>223</v>
      </c>
      <c r="E42" s="12" t="s">
        <v>224</v>
      </c>
      <c r="F42" s="12" t="s">
        <v>321</v>
      </c>
      <c r="G42" s="12" t="s">
        <v>23</v>
      </c>
      <c r="H42" s="16">
        <v>45615</v>
      </c>
      <c r="I42" s="16">
        <v>45616</v>
      </c>
      <c r="J42" s="14">
        <v>2</v>
      </c>
      <c r="K42" s="15">
        <v>2</v>
      </c>
    </row>
    <row r="43" spans="2:11" ht="30" x14ac:dyDescent="0.3">
      <c r="B43" s="11">
        <v>151</v>
      </c>
      <c r="C43" s="11">
        <v>39</v>
      </c>
      <c r="D43" s="14" t="s">
        <v>228</v>
      </c>
      <c r="E43" s="14" t="s">
        <v>46</v>
      </c>
      <c r="F43" s="14" t="s">
        <v>321</v>
      </c>
      <c r="G43" s="14" t="s">
        <v>23</v>
      </c>
      <c r="H43" s="13">
        <v>45628</v>
      </c>
      <c r="I43" s="13">
        <v>45630</v>
      </c>
      <c r="J43" s="14">
        <v>3</v>
      </c>
      <c r="K43" s="15">
        <v>28</v>
      </c>
    </row>
    <row r="44" spans="2:11" ht="30" x14ac:dyDescent="0.3">
      <c r="B44" s="11">
        <v>152</v>
      </c>
      <c r="C44" s="11">
        <v>40</v>
      </c>
      <c r="D44" s="14" t="s">
        <v>229</v>
      </c>
      <c r="E44" s="14" t="s">
        <v>46</v>
      </c>
      <c r="F44" s="14" t="s">
        <v>321</v>
      </c>
      <c r="G44" s="14" t="s">
        <v>23</v>
      </c>
      <c r="H44" s="13">
        <v>45635</v>
      </c>
      <c r="I44" s="13">
        <v>45637</v>
      </c>
      <c r="J44" s="14">
        <v>3</v>
      </c>
      <c r="K44" s="15">
        <v>29</v>
      </c>
    </row>
    <row r="45" spans="2:11" ht="30" x14ac:dyDescent="0.3">
      <c r="B45" s="11">
        <v>153</v>
      </c>
      <c r="C45" s="11">
        <v>41</v>
      </c>
      <c r="D45" s="12" t="s">
        <v>230</v>
      </c>
      <c r="E45" s="12" t="s">
        <v>231</v>
      </c>
      <c r="F45" s="12" t="s">
        <v>321</v>
      </c>
      <c r="G45" s="12" t="s">
        <v>23</v>
      </c>
      <c r="H45" s="16">
        <v>45638</v>
      </c>
      <c r="I45" s="16">
        <v>45639</v>
      </c>
      <c r="J45" s="14">
        <v>2</v>
      </c>
      <c r="K45" s="15">
        <v>2</v>
      </c>
    </row>
    <row r="46" spans="2:11" ht="15" x14ac:dyDescent="0.3">
      <c r="B46" s="11">
        <v>158</v>
      </c>
      <c r="C46" s="11">
        <v>42</v>
      </c>
      <c r="D46" s="12" t="s">
        <v>235</v>
      </c>
      <c r="E46" s="12" t="s">
        <v>236</v>
      </c>
      <c r="F46" s="12" t="s">
        <v>321</v>
      </c>
      <c r="G46" s="12" t="s">
        <v>237</v>
      </c>
      <c r="H46" s="16">
        <v>45640</v>
      </c>
      <c r="I46" s="16">
        <v>45640</v>
      </c>
      <c r="J46" s="14">
        <v>1</v>
      </c>
      <c r="K46" s="15">
        <v>1</v>
      </c>
    </row>
    <row r="47" spans="2:11" ht="15" x14ac:dyDescent="0.3">
      <c r="B47" s="11">
        <v>161</v>
      </c>
      <c r="C47" s="11">
        <v>43</v>
      </c>
      <c r="D47" s="12" t="s">
        <v>240</v>
      </c>
      <c r="E47" s="12" t="s">
        <v>241</v>
      </c>
      <c r="F47" s="12" t="s">
        <v>321</v>
      </c>
      <c r="G47" s="12" t="s">
        <v>79</v>
      </c>
      <c r="H47" s="16">
        <v>45664</v>
      </c>
      <c r="I47" s="16">
        <v>45665</v>
      </c>
      <c r="J47" s="14">
        <v>2</v>
      </c>
      <c r="K47" s="15">
        <v>2</v>
      </c>
    </row>
    <row r="48" spans="2:11" ht="30" x14ac:dyDescent="0.3">
      <c r="B48" s="11">
        <v>170</v>
      </c>
      <c r="C48" s="11">
        <v>44</v>
      </c>
      <c r="D48" s="12" t="s">
        <v>251</v>
      </c>
      <c r="E48" s="12" t="s">
        <v>110</v>
      </c>
      <c r="F48" s="12" t="s">
        <v>321</v>
      </c>
      <c r="G48" s="12" t="s">
        <v>24</v>
      </c>
      <c r="H48" s="16">
        <v>45666</v>
      </c>
      <c r="I48" s="16">
        <v>45667</v>
      </c>
      <c r="J48" s="14">
        <v>2</v>
      </c>
      <c r="K48" s="15">
        <v>2</v>
      </c>
    </row>
    <row r="49" spans="2:11" ht="45.6" x14ac:dyDescent="0.3">
      <c r="B49" s="11">
        <v>175</v>
      </c>
      <c r="C49" s="11">
        <v>45</v>
      </c>
      <c r="D49" s="25" t="s">
        <v>258</v>
      </c>
      <c r="E49" s="21" t="s">
        <v>259</v>
      </c>
      <c r="F49" s="21" t="s">
        <v>321</v>
      </c>
      <c r="G49" s="21" t="s">
        <v>23</v>
      </c>
      <c r="H49" s="20">
        <v>45681</v>
      </c>
      <c r="I49" s="20">
        <v>45681</v>
      </c>
      <c r="J49" s="14">
        <v>1</v>
      </c>
      <c r="K49" s="15">
        <v>1</v>
      </c>
    </row>
    <row r="50" spans="2:11" ht="15" x14ac:dyDescent="0.3">
      <c r="B50" s="11">
        <v>176</v>
      </c>
      <c r="C50" s="11">
        <v>46</v>
      </c>
      <c r="D50" s="21" t="s">
        <v>260</v>
      </c>
      <c r="E50" s="21" t="s">
        <v>199</v>
      </c>
      <c r="F50" s="21" t="s">
        <v>321</v>
      </c>
      <c r="G50" s="21" t="s">
        <v>50</v>
      </c>
      <c r="H50" s="20">
        <v>45677</v>
      </c>
      <c r="I50" s="20">
        <v>45678</v>
      </c>
      <c r="J50" s="14">
        <v>2</v>
      </c>
      <c r="K50" s="15">
        <v>1</v>
      </c>
    </row>
    <row r="51" spans="2:11" ht="15" x14ac:dyDescent="0.3">
      <c r="B51" s="11">
        <v>180</v>
      </c>
      <c r="C51" s="11">
        <v>47</v>
      </c>
      <c r="D51" s="21" t="s">
        <v>265</v>
      </c>
      <c r="E51" s="21" t="s">
        <v>266</v>
      </c>
      <c r="F51" s="21" t="s">
        <v>321</v>
      </c>
      <c r="G51" s="21" t="s">
        <v>23</v>
      </c>
      <c r="H51" s="20">
        <v>45687</v>
      </c>
      <c r="I51" s="20">
        <v>45687</v>
      </c>
      <c r="J51" s="14">
        <v>1</v>
      </c>
      <c r="K51" s="15">
        <v>1</v>
      </c>
    </row>
    <row r="52" spans="2:11" ht="30" x14ac:dyDescent="0.3">
      <c r="B52" s="11">
        <v>181</v>
      </c>
      <c r="C52" s="11">
        <v>48</v>
      </c>
      <c r="D52" s="21" t="s">
        <v>267</v>
      </c>
      <c r="E52" s="21" t="s">
        <v>268</v>
      </c>
      <c r="F52" s="21" t="s">
        <v>321</v>
      </c>
      <c r="G52" s="21" t="s">
        <v>128</v>
      </c>
      <c r="H52" s="20">
        <v>45680</v>
      </c>
      <c r="I52" s="20">
        <v>45680</v>
      </c>
      <c r="J52" s="14">
        <v>1</v>
      </c>
      <c r="K52" s="15">
        <v>1</v>
      </c>
    </row>
    <row r="53" spans="2:11" ht="15" x14ac:dyDescent="0.3">
      <c r="B53" s="11">
        <v>184</v>
      </c>
      <c r="C53" s="11">
        <v>49</v>
      </c>
      <c r="D53" s="14" t="s">
        <v>271</v>
      </c>
      <c r="E53" s="14" t="s">
        <v>272</v>
      </c>
      <c r="F53" s="14" t="s">
        <v>321</v>
      </c>
      <c r="G53" s="14" t="s">
        <v>24</v>
      </c>
      <c r="H53" s="13">
        <v>45680</v>
      </c>
      <c r="I53" s="13">
        <v>45680</v>
      </c>
      <c r="J53" s="14">
        <v>1</v>
      </c>
      <c r="K53" s="15">
        <v>3</v>
      </c>
    </row>
    <row r="54" spans="2:11" ht="15" x14ac:dyDescent="0.3">
      <c r="B54" s="11">
        <v>185</v>
      </c>
      <c r="C54" s="11">
        <v>50</v>
      </c>
      <c r="D54" s="14" t="s">
        <v>273</v>
      </c>
      <c r="E54" s="14" t="s">
        <v>272</v>
      </c>
      <c r="F54" s="14" t="s">
        <v>321</v>
      </c>
      <c r="G54" s="14" t="s">
        <v>24</v>
      </c>
      <c r="H54" s="13">
        <v>45680</v>
      </c>
      <c r="I54" s="13">
        <v>45680</v>
      </c>
      <c r="J54" s="14">
        <v>1</v>
      </c>
      <c r="K54" s="15">
        <v>4</v>
      </c>
    </row>
    <row r="55" spans="2:11" ht="30" x14ac:dyDescent="0.3">
      <c r="B55" s="11">
        <v>192</v>
      </c>
      <c r="C55" s="11">
        <v>51</v>
      </c>
      <c r="D55" s="14" t="s">
        <v>137</v>
      </c>
      <c r="E55" s="14" t="s">
        <v>138</v>
      </c>
      <c r="F55" s="14" t="s">
        <v>321</v>
      </c>
      <c r="G55" s="14" t="s">
        <v>139</v>
      </c>
      <c r="H55" s="13">
        <v>45717</v>
      </c>
      <c r="I55" s="13">
        <v>45721</v>
      </c>
      <c r="J55" s="14">
        <v>5</v>
      </c>
      <c r="K55" s="15">
        <v>4</v>
      </c>
    </row>
    <row r="56" spans="2:11" ht="30" x14ac:dyDescent="0.3">
      <c r="B56" s="11">
        <v>193</v>
      </c>
      <c r="C56" s="11">
        <v>52</v>
      </c>
      <c r="D56" s="21" t="s">
        <v>279</v>
      </c>
      <c r="E56" s="21" t="s">
        <v>182</v>
      </c>
      <c r="F56" s="21" t="s">
        <v>321</v>
      </c>
      <c r="G56" s="21" t="s">
        <v>36</v>
      </c>
      <c r="H56" s="20">
        <v>45710</v>
      </c>
      <c r="I56" s="20">
        <v>45714</v>
      </c>
      <c r="J56" s="14">
        <v>5</v>
      </c>
      <c r="K56" s="15">
        <v>3</v>
      </c>
    </row>
    <row r="57" spans="2:11" ht="30" x14ac:dyDescent="0.3">
      <c r="B57" s="11">
        <v>197</v>
      </c>
      <c r="C57" s="11">
        <v>53</v>
      </c>
      <c r="D57" s="21" t="s">
        <v>282</v>
      </c>
      <c r="E57" s="12" t="s">
        <v>63</v>
      </c>
      <c r="F57" s="21" t="s">
        <v>321</v>
      </c>
      <c r="G57" s="21" t="s">
        <v>64</v>
      </c>
      <c r="H57" s="20">
        <v>45692</v>
      </c>
      <c r="I57" s="20">
        <v>45695</v>
      </c>
      <c r="J57" s="14">
        <v>4</v>
      </c>
      <c r="K57" s="15">
        <v>5</v>
      </c>
    </row>
    <row r="58" spans="2:11" ht="30.6" x14ac:dyDescent="0.3">
      <c r="B58" s="11">
        <v>198</v>
      </c>
      <c r="C58" s="11">
        <v>54</v>
      </c>
      <c r="D58" s="25" t="s">
        <v>283</v>
      </c>
      <c r="E58" s="25" t="s">
        <v>284</v>
      </c>
      <c r="F58" s="21" t="s">
        <v>321</v>
      </c>
      <c r="G58" s="21" t="s">
        <v>118</v>
      </c>
      <c r="H58" s="20">
        <v>45699</v>
      </c>
      <c r="I58" s="20">
        <v>45699</v>
      </c>
      <c r="J58" s="14">
        <v>1</v>
      </c>
      <c r="K58" s="15">
        <v>2</v>
      </c>
    </row>
    <row r="59" spans="2:11" ht="30" x14ac:dyDescent="0.3">
      <c r="B59" s="11">
        <v>199</v>
      </c>
      <c r="C59" s="11">
        <v>55</v>
      </c>
      <c r="D59" s="21" t="s">
        <v>285</v>
      </c>
      <c r="E59" s="21" t="s">
        <v>286</v>
      </c>
      <c r="F59" s="21" t="s">
        <v>321</v>
      </c>
      <c r="G59" s="21" t="s">
        <v>79</v>
      </c>
      <c r="H59" s="20">
        <v>45709</v>
      </c>
      <c r="I59" s="20">
        <v>45710</v>
      </c>
      <c r="J59" s="14">
        <v>2</v>
      </c>
      <c r="K59" s="15">
        <v>3</v>
      </c>
    </row>
    <row r="60" spans="2:11" ht="30.6" x14ac:dyDescent="0.3">
      <c r="B60" s="11">
        <v>200</v>
      </c>
      <c r="C60" s="11">
        <v>56</v>
      </c>
      <c r="D60" s="25" t="s">
        <v>287</v>
      </c>
      <c r="E60" s="21" t="s">
        <v>288</v>
      </c>
      <c r="F60" s="25" t="s">
        <v>321</v>
      </c>
      <c r="G60" s="25" t="s">
        <v>79</v>
      </c>
      <c r="H60" s="20">
        <v>45701</v>
      </c>
      <c r="I60" s="20">
        <v>45702</v>
      </c>
      <c r="J60" s="14">
        <v>2</v>
      </c>
      <c r="K60" s="15">
        <v>2</v>
      </c>
    </row>
    <row r="61" spans="2:11" ht="15" x14ac:dyDescent="0.3">
      <c r="B61" s="11">
        <v>205</v>
      </c>
      <c r="C61" s="11">
        <v>57</v>
      </c>
      <c r="D61" s="21" t="s">
        <v>297</v>
      </c>
      <c r="E61" s="21" t="s">
        <v>298</v>
      </c>
      <c r="F61" s="21" t="s">
        <v>321</v>
      </c>
      <c r="G61" s="21" t="s">
        <v>24</v>
      </c>
      <c r="H61" s="20">
        <v>45713</v>
      </c>
      <c r="I61" s="20">
        <v>45713</v>
      </c>
      <c r="J61" s="14">
        <v>1</v>
      </c>
      <c r="K61" s="15">
        <v>8</v>
      </c>
    </row>
    <row r="62" spans="2:11" ht="30" x14ac:dyDescent="0.3">
      <c r="B62" s="11">
        <v>208</v>
      </c>
      <c r="C62" s="11">
        <v>58</v>
      </c>
      <c r="D62" s="21" t="s">
        <v>301</v>
      </c>
      <c r="E62" s="21" t="s">
        <v>165</v>
      </c>
      <c r="F62" s="21" t="s">
        <v>321</v>
      </c>
      <c r="G62" s="21" t="s">
        <v>24</v>
      </c>
      <c r="H62" s="20">
        <v>45703</v>
      </c>
      <c r="I62" s="20">
        <v>45703</v>
      </c>
      <c r="J62" s="14">
        <v>1</v>
      </c>
      <c r="K62" s="15">
        <v>5</v>
      </c>
    </row>
    <row r="63" spans="2:11" ht="15.6" x14ac:dyDescent="0.3">
      <c r="B63" s="11">
        <v>211</v>
      </c>
      <c r="C63" s="11">
        <v>59</v>
      </c>
      <c r="D63" s="25" t="s">
        <v>303</v>
      </c>
      <c r="E63" s="25" t="s">
        <v>259</v>
      </c>
      <c r="F63" s="25" t="s">
        <v>321</v>
      </c>
      <c r="G63" s="25" t="s">
        <v>23</v>
      </c>
      <c r="H63" s="20">
        <v>45720</v>
      </c>
      <c r="I63" s="20">
        <v>45720</v>
      </c>
      <c r="J63" s="14">
        <v>1</v>
      </c>
      <c r="K63" s="15">
        <v>4</v>
      </c>
    </row>
    <row r="64" spans="2:11" ht="30" x14ac:dyDescent="0.3">
      <c r="B64" s="11">
        <v>212</v>
      </c>
      <c r="C64" s="11">
        <v>60</v>
      </c>
      <c r="D64" s="21" t="s">
        <v>304</v>
      </c>
      <c r="E64" s="21" t="s">
        <v>208</v>
      </c>
      <c r="F64" s="21" t="s">
        <v>321</v>
      </c>
      <c r="G64" s="21" t="s">
        <v>23</v>
      </c>
      <c r="H64" s="20">
        <v>45734</v>
      </c>
      <c r="I64" s="20">
        <v>45738</v>
      </c>
      <c r="J64" s="14">
        <v>5</v>
      </c>
      <c r="K64" s="15">
        <v>2</v>
      </c>
    </row>
    <row r="65" spans="2:11" ht="30" x14ac:dyDescent="0.3">
      <c r="B65" s="11">
        <v>217</v>
      </c>
      <c r="C65" s="11">
        <v>61</v>
      </c>
      <c r="D65" s="21" t="s">
        <v>309</v>
      </c>
      <c r="E65" s="21" t="s">
        <v>214</v>
      </c>
      <c r="F65" s="21" t="s">
        <v>321</v>
      </c>
      <c r="G65" s="21" t="s">
        <v>23</v>
      </c>
      <c r="H65" s="20">
        <v>45727</v>
      </c>
      <c r="I65" s="20">
        <v>45727</v>
      </c>
      <c r="J65" s="14">
        <v>1</v>
      </c>
      <c r="K65" s="15">
        <v>1</v>
      </c>
    </row>
    <row r="66" spans="2:11" ht="15" x14ac:dyDescent="0.3">
      <c r="B66" s="11">
        <v>220</v>
      </c>
      <c r="C66" s="11">
        <v>62</v>
      </c>
      <c r="D66" s="21" t="s">
        <v>313</v>
      </c>
      <c r="E66" s="21" t="s">
        <v>314</v>
      </c>
      <c r="F66" s="21" t="s">
        <v>321</v>
      </c>
      <c r="G66" s="21" t="s">
        <v>296</v>
      </c>
      <c r="H66" s="20">
        <v>45733</v>
      </c>
      <c r="I66" s="20">
        <v>45735</v>
      </c>
      <c r="J66" s="14">
        <v>3</v>
      </c>
      <c r="K66" s="15">
        <v>1</v>
      </c>
    </row>
    <row r="67" spans="2:11" ht="30" x14ac:dyDescent="0.3">
      <c r="B67" s="11">
        <v>223</v>
      </c>
      <c r="C67" s="11">
        <v>63</v>
      </c>
      <c r="D67" s="14" t="s">
        <v>318</v>
      </c>
      <c r="E67" s="14" t="s">
        <v>319</v>
      </c>
      <c r="F67" s="14" t="s">
        <v>321</v>
      </c>
      <c r="G67" s="14" t="s">
        <v>320</v>
      </c>
      <c r="H67" s="13">
        <v>45734</v>
      </c>
      <c r="I67" s="13">
        <v>45738</v>
      </c>
      <c r="J67" s="14">
        <v>5</v>
      </c>
      <c r="K67" s="15">
        <v>6</v>
      </c>
    </row>
    <row r="68" spans="2:11" ht="30" x14ac:dyDescent="0.3">
      <c r="B68" s="11">
        <v>224</v>
      </c>
      <c r="C68" s="11">
        <v>64</v>
      </c>
      <c r="D68" s="14" t="s">
        <v>318</v>
      </c>
      <c r="E68" s="14" t="s">
        <v>319</v>
      </c>
      <c r="F68" s="14" t="s">
        <v>321</v>
      </c>
      <c r="G68" s="14" t="s">
        <v>320</v>
      </c>
      <c r="H68" s="13">
        <v>45741</v>
      </c>
      <c r="I68" s="13">
        <v>45745</v>
      </c>
      <c r="J68" s="14">
        <v>5</v>
      </c>
      <c r="K68" s="15">
        <v>4</v>
      </c>
    </row>
    <row r="69" spans="2:11" ht="30" x14ac:dyDescent="0.3">
      <c r="B69" s="11">
        <v>225</v>
      </c>
      <c r="C69" s="11">
        <v>65</v>
      </c>
      <c r="D69" s="14" t="s">
        <v>318</v>
      </c>
      <c r="E69" s="14" t="s">
        <v>319</v>
      </c>
      <c r="F69" s="14" t="s">
        <v>321</v>
      </c>
      <c r="G69" s="14" t="s">
        <v>320</v>
      </c>
      <c r="H69" s="13">
        <v>45741</v>
      </c>
      <c r="I69" s="13">
        <v>45745</v>
      </c>
      <c r="J69" s="14">
        <v>5</v>
      </c>
      <c r="K69" s="15">
        <v>5</v>
      </c>
    </row>
  </sheetData>
  <mergeCells count="1">
    <mergeCell ref="C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Company 2024-25</vt:lpstr>
      <vt:lpstr>GUVNL 24_25</vt:lpstr>
      <vt:lpstr>GETCO 24_25</vt:lpstr>
      <vt:lpstr>GSECL 24_25</vt:lpstr>
      <vt:lpstr>PGVCL 24_25</vt:lpstr>
      <vt:lpstr>DGVCL 24_25</vt:lpstr>
      <vt:lpstr>UGVCL 24_25</vt:lpstr>
      <vt:lpstr>MGVCL 24_25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S.J.SONI</dc:creator>
  <cp:lastModifiedBy>guvnl</cp:lastModifiedBy>
  <cp:lastPrinted>2026-01-05T04:43:12Z</cp:lastPrinted>
  <dcterms:created xsi:type="dcterms:W3CDTF">2025-05-22T12:32:53Z</dcterms:created>
  <dcterms:modified xsi:type="dcterms:W3CDTF">2026-01-05T04:44:08Z</dcterms:modified>
</cp:coreProperties>
</file>